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  <sheet xmlns:r="http://schemas.openxmlformats.org/officeDocument/2006/relationships" name="Financials" sheetId="2" state="visible" r:id="rId2"/>
    <sheet xmlns:r="http://schemas.openxmlformats.org/officeDocument/2006/relationships" name="Peers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Export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$#,##0.00"/>
    <numFmt numFmtId="166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color rgb="000000FF"/>
      <sz val="14"/>
    </font>
    <font>
      <name val="Arial"/>
      <i val="1"/>
      <color rgb="00888888"/>
      <sz val="10"/>
    </font>
    <font>
      <name val="Arial"/>
      <color rgb="00000000"/>
      <sz val="11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color rgb="00999999"/>
      <sz val="9"/>
    </font>
    <font>
      <name val="Arial"/>
      <b val="1"/>
      <color rgb="000000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5" fillId="0" borderId="1" pivotButton="0" quotePrefix="0" xfId="0"/>
    <xf numFmtId="0" fontId="4" fillId="0" borderId="1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/>
    </xf>
    <xf numFmtId="0" fontId="5" fillId="4" borderId="0" pivotButton="0" quotePrefix="0" xfId="0"/>
    <xf numFmtId="0" fontId="0" fillId="4" borderId="0" pivotButton="0" quotePrefix="0" xfId="0"/>
    <xf numFmtId="3" fontId="4" fillId="0" borderId="1" pivotButton="0" quotePrefix="0" xfId="0"/>
    <xf numFmtId="0" fontId="8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1" t="inlineStr">
        <is>
          <t>TICKER:</t>
        </is>
      </c>
      <c r="B1" s="2" t="inlineStr">
        <is>
          <t>KO</t>
        </is>
      </c>
      <c r="C1" s="3" t="inlineStr">
        <is>
          <t>← Type ticker here (e.g. KO, AAPL, MSFT)</t>
        </is>
      </c>
    </row>
    <row r="2">
      <c r="A2" s="4" t="inlineStr">
        <is>
          <t>Security:</t>
        </is>
      </c>
      <c r="B2" s="5">
        <f>B1&amp;" US Equity"</f>
        <v/>
      </c>
    </row>
    <row r="3">
      <c r="A3" s="4" t="inlineStr">
        <is>
          <t>Exported:</t>
        </is>
      </c>
      <c r="B3" s="6">
        <f>NOW()</f>
        <v/>
      </c>
    </row>
    <row r="5">
      <c r="A5" s="7" t="inlineStr">
        <is>
          <t>COMPANY PROFILE</t>
        </is>
      </c>
      <c r="B5" s="8" t="n"/>
      <c r="C5" s="8" t="n"/>
    </row>
    <row r="6">
      <c r="A6" s="9" t="inlineStr">
        <is>
          <t>Company Name</t>
        </is>
      </c>
      <c r="B6" s="10">
        <f>BDP($B$2,"NAME")</f>
        <v/>
      </c>
      <c r="C6" s="11" t="inlineStr">
        <is>
          <t>name</t>
        </is>
      </c>
    </row>
    <row r="7">
      <c r="A7" s="9" t="inlineStr">
        <is>
          <t>Sector</t>
        </is>
      </c>
      <c r="B7" s="10">
        <f>BDP($B$2,"GICS_SECTOR_NAME")</f>
        <v/>
      </c>
      <c r="C7" s="11" t="inlineStr">
        <is>
          <t>sector</t>
        </is>
      </c>
    </row>
    <row r="8">
      <c r="A8" s="9" t="inlineStr">
        <is>
          <t>Industry</t>
        </is>
      </c>
      <c r="B8" s="10">
        <f>BDP($B$2,"GICS_INDUSTRY_NAME")</f>
        <v/>
      </c>
      <c r="C8" s="11" t="inlineStr">
        <is>
          <t>industry</t>
        </is>
      </c>
    </row>
    <row r="9">
      <c r="A9" s="9" t="inlineStr">
        <is>
          <t>Sub-Industry</t>
        </is>
      </c>
      <c r="B9" s="10">
        <f>BDP($B$2,"GICS_SUB_INDUSTRY_NAME")</f>
        <v/>
      </c>
      <c r="C9" s="11" t="inlineStr">
        <is>
          <t>sub_industry</t>
        </is>
      </c>
    </row>
    <row r="10">
      <c r="A10" s="9" t="inlineStr">
        <is>
          <t>Current Price</t>
        </is>
      </c>
      <c r="B10" s="10">
        <f>BDP($B$2,"PX_LAST")</f>
        <v/>
      </c>
      <c r="C10" s="11" t="inlineStr">
        <is>
          <t>price</t>
        </is>
      </c>
    </row>
    <row r="11">
      <c r="A11" s="9" t="inlineStr">
        <is>
          <t>Market Cap (M)</t>
        </is>
      </c>
      <c r="B11" s="10">
        <f>BDP($B$2,"CUR_MKT_CAP")</f>
        <v/>
      </c>
      <c r="C11" s="11" t="inlineStr">
        <is>
          <t>market_cap</t>
        </is>
      </c>
    </row>
    <row r="12">
      <c r="A12" s="9" t="inlineStr">
        <is>
          <t>Beta</t>
        </is>
      </c>
      <c r="B12" s="10">
        <f>BDP($B$2,"BETA_RAW_OVERRIDABLE")</f>
        <v/>
      </c>
      <c r="C12" s="11" t="inlineStr">
        <is>
          <t>beta</t>
        </is>
      </c>
    </row>
    <row r="13">
      <c r="A13" s="9" t="inlineStr">
        <is>
          <t>Shares Outstanding</t>
        </is>
      </c>
      <c r="B13" s="10">
        <f>BDP($B$2,"EQY_SH_OUT")</f>
        <v/>
      </c>
      <c r="C13" s="11" t="inlineStr">
        <is>
          <t>shares_outstanding</t>
        </is>
      </c>
    </row>
    <row r="14">
      <c r="A14" s="9" t="inlineStr">
        <is>
          <t>52-Week High</t>
        </is>
      </c>
      <c r="B14" s="10">
        <f>BDP($B$2,"HIGH_52WEEK")</f>
        <v/>
      </c>
      <c r="C14" s="11" t="inlineStr">
        <is>
          <t>high_52w</t>
        </is>
      </c>
    </row>
    <row r="15">
      <c r="A15" s="9" t="inlineStr">
        <is>
          <t>52-Week Low</t>
        </is>
      </c>
      <c r="B15" s="10">
        <f>BDP($B$2,"LOW_52WEEK")</f>
        <v/>
      </c>
      <c r="C15" s="11" t="inlineStr">
        <is>
          <t>low_52w</t>
        </is>
      </c>
    </row>
    <row r="16">
      <c r="A16" s="9" t="inlineStr">
        <is>
          <t>Avg Volume (30d)</t>
        </is>
      </c>
      <c r="B16" s="10">
        <f>BDP($B$2,"VOLUME_AVG_30D")</f>
        <v/>
      </c>
      <c r="C16" s="11" t="inlineStr">
        <is>
          <t>avg_volume_30d</t>
        </is>
      </c>
    </row>
    <row r="17">
      <c r="A17" s="9" t="inlineStr">
        <is>
          <t>Country</t>
        </is>
      </c>
      <c r="B17" s="10">
        <f>BDP($B$2,"COUNTRY")</f>
        <v/>
      </c>
      <c r="C17" s="11" t="inlineStr">
        <is>
          <t>country</t>
        </is>
      </c>
    </row>
    <row r="18">
      <c r="A18" s="9" t="inlineStr">
        <is>
          <t>Exchange</t>
        </is>
      </c>
      <c r="B18" s="10">
        <f>BDP($B$2,"EXCH_CODE")</f>
        <v/>
      </c>
      <c r="C18" s="11" t="inlineStr">
        <is>
          <t>exchange</t>
        </is>
      </c>
    </row>
    <row r="19">
      <c r="A19" s="9" t="inlineStr">
        <is>
          <t>Currency</t>
        </is>
      </c>
      <c r="B19" s="10">
        <f>BDP($B$2,"CRNCY")</f>
        <v/>
      </c>
      <c r="C19" s="11" t="inlineStr">
        <is>
          <t>currency</t>
        </is>
      </c>
    </row>
    <row r="20">
      <c r="A20" s="9" t="inlineStr">
        <is>
          <t>Description</t>
        </is>
      </c>
      <c r="B20" s="10">
        <f>BDP($B$2,"CIE_DES_BULK")</f>
        <v/>
      </c>
      <c r="C20" s="11" t="inlineStr">
        <is>
          <t>description</t>
        </is>
      </c>
    </row>
    <row r="23">
      <c r="A23" s="7" t="inlineStr">
        <is>
          <t>VALUATION METRICS</t>
        </is>
      </c>
      <c r="B23" s="8" t="n"/>
      <c r="C23" s="8" t="n"/>
    </row>
    <row r="24">
      <c r="A24" s="4" t="inlineStr">
        <is>
          <t>P/E Ratio (TTM)</t>
        </is>
      </c>
      <c r="B24" s="5">
        <f>BDP($B$2,"PE_RATIO")</f>
        <v/>
      </c>
      <c r="C24" s="11" t="inlineStr">
        <is>
          <t>pe_ratio</t>
        </is>
      </c>
    </row>
    <row r="25">
      <c r="A25" s="4" t="inlineStr">
        <is>
          <t>Forward P/E</t>
        </is>
      </c>
      <c r="B25" s="5">
        <f>BDP($B$2,"BEST_PE_RATIO")</f>
        <v/>
      </c>
      <c r="C25" s="11" t="inlineStr">
        <is>
          <t>forward_pe</t>
        </is>
      </c>
    </row>
    <row r="26">
      <c r="A26" s="4" t="inlineStr">
        <is>
          <t>EV/EBITDA</t>
        </is>
      </c>
      <c r="B26" s="5">
        <f>BDP($B$2,"BEST_CUR_EV_TO_EBITDA")</f>
        <v/>
      </c>
      <c r="C26" s="11" t="inlineStr">
        <is>
          <t>ev_ebitda</t>
        </is>
      </c>
    </row>
    <row r="27">
      <c r="A27" s="4" t="inlineStr">
        <is>
          <t>Price/Sales</t>
        </is>
      </c>
      <c r="B27" s="5">
        <f>BDP($B$2,"PX_TO_SALES_RATIO")</f>
        <v/>
      </c>
      <c r="C27" s="11" t="inlineStr">
        <is>
          <t>price_to_sales</t>
        </is>
      </c>
    </row>
    <row r="28">
      <c r="A28" s="4" t="inlineStr">
        <is>
          <t>Price/Book</t>
        </is>
      </c>
      <c r="B28" s="5">
        <f>BDP($B$2,"PX_TO_BOOK_RATIO")</f>
        <v/>
      </c>
      <c r="C28" s="11" t="inlineStr">
        <is>
          <t>price_to_book</t>
        </is>
      </c>
    </row>
    <row r="29">
      <c r="A29" s="4" t="inlineStr">
        <is>
          <t>PEG Ratio</t>
        </is>
      </c>
      <c r="B29" s="5">
        <f>BDP($B$2,"BEST_PEG_RATIO")</f>
        <v/>
      </c>
      <c r="C29" s="11" t="inlineStr">
        <is>
          <t>peg_ratio</t>
        </is>
      </c>
    </row>
    <row r="30">
      <c r="A30" s="4" t="inlineStr">
        <is>
          <t>EV/Revenue</t>
        </is>
      </c>
      <c r="B30" s="5">
        <f>BDP($B$2,"CUR_EV_TO_T12M_SALES")</f>
        <v/>
      </c>
      <c r="C30" s="11" t="inlineStr">
        <is>
          <t>ev_revenue</t>
        </is>
      </c>
    </row>
    <row r="31">
      <c r="A31" s="4" t="inlineStr">
        <is>
          <t>Enterprise Value (M)</t>
        </is>
      </c>
      <c r="B31" s="5">
        <f>BDP($B$2,"CURR_ENTP_VAL")</f>
        <v/>
      </c>
      <c r="C31" s="11" t="inlineStr">
        <is>
          <t>enterprise_value</t>
        </is>
      </c>
    </row>
    <row r="32">
      <c r="A32" s="4" t="inlineStr">
        <is>
          <t>FCF Yield</t>
        </is>
      </c>
      <c r="B32" s="5">
        <f>BDP($B$2,"BEST_FREE_CASH_FLOW_YIELD")</f>
        <v/>
      </c>
      <c r="C32" s="11" t="inlineStr">
        <is>
          <t>fcf_yield</t>
        </is>
      </c>
    </row>
    <row r="35">
      <c r="A35" s="7" t="inlineStr">
        <is>
          <t>ANALYST CONSENSUS</t>
        </is>
      </c>
      <c r="B35" s="8" t="n"/>
      <c r="C35" s="8" t="n"/>
    </row>
    <row r="36">
      <c r="A36" s="4" t="inlineStr">
        <is>
          <t>Target Price (Mean)</t>
        </is>
      </c>
      <c r="B36" s="5">
        <f>BDP($B$2,"BEST_TARGET_PRICE")</f>
        <v/>
      </c>
      <c r="C36" s="11" t="inlineStr">
        <is>
          <t>target_price</t>
        </is>
      </c>
    </row>
    <row r="37">
      <c r="A37" s="4" t="inlineStr">
        <is>
          <t>Analyst Rating (1-5)</t>
        </is>
      </c>
      <c r="B37" s="5">
        <f>BDP($B$2,"BEST_ANALYST_RATING")</f>
        <v/>
      </c>
      <c r="C37" s="11" t="inlineStr">
        <is>
          <t>analyst_rating</t>
        </is>
      </c>
    </row>
    <row r="38">
      <c r="A38" s="4" t="inlineStr">
        <is>
          <t># Buy Ratings</t>
        </is>
      </c>
      <c r="B38" s="5">
        <f>BDP($B$2,"TOT_BUY_REC")</f>
        <v/>
      </c>
      <c r="C38" s="11" t="inlineStr">
        <is>
          <t>buy_ratings</t>
        </is>
      </c>
    </row>
    <row r="39">
      <c r="A39" s="4" t="inlineStr">
        <is>
          <t># Hold Ratings</t>
        </is>
      </c>
      <c r="B39" s="5">
        <f>BDP($B$2,"TOT_HOLD_REC")</f>
        <v/>
      </c>
      <c r="C39" s="11" t="inlineStr">
        <is>
          <t>hold_ratings</t>
        </is>
      </c>
    </row>
    <row r="40">
      <c r="A40" s="4" t="inlineStr">
        <is>
          <t># Sell Ratings</t>
        </is>
      </c>
      <c r="B40" s="5">
        <f>BDP($B$2,"TOT_SELL_REC")</f>
        <v/>
      </c>
      <c r="C40" s="11" t="inlineStr">
        <is>
          <t>sell_ratings</t>
        </is>
      </c>
    </row>
    <row r="41">
      <c r="A41" s="4" t="inlineStr">
        <is>
          <t>Consensus EPS (CY)</t>
        </is>
      </c>
      <c r="B41" s="5">
        <f>BDP($B$2,"BEST_EPS")</f>
        <v/>
      </c>
      <c r="C41" s="11" t="inlineStr">
        <is>
          <t>consensus_eps_cy</t>
        </is>
      </c>
    </row>
    <row r="42">
      <c r="A42" s="4" t="inlineStr">
        <is>
          <t>Consensus EPS (NY)</t>
        </is>
      </c>
      <c r="B42" s="5">
        <f>BDP($B$2,"BEST_EPS_NXT_YR")</f>
        <v/>
      </c>
      <c r="C42" s="11" t="inlineStr">
        <is>
          <t>consensus_eps_ny</t>
        </is>
      </c>
    </row>
    <row r="43">
      <c r="A43" s="4" t="inlineStr">
        <is>
          <t>Forward DPS</t>
        </is>
      </c>
      <c r="B43" s="5">
        <f>BDP($B$2,"BEST_DPS")</f>
        <v/>
      </c>
      <c r="C43" s="11" t="inlineStr">
        <is>
          <t>forward_dps</t>
        </is>
      </c>
    </row>
    <row r="44">
      <c r="A44" s="4" t="inlineStr">
        <is>
          <t>Forward Div Growth</t>
        </is>
      </c>
      <c r="B44" s="5">
        <f>BDP($B$2,"EXPECTED_DVD_GROWTH")</f>
        <v/>
      </c>
      <c r="C44" s="11" t="inlineStr">
        <is>
          <t>forward_div_growth</t>
        </is>
      </c>
    </row>
    <row r="47">
      <c r="A47" s="7" t="inlineStr">
        <is>
          <t>PROFITABILITY &amp; RETURNS</t>
        </is>
      </c>
      <c r="B47" s="8" t="n"/>
      <c r="C47" s="8" t="n"/>
    </row>
    <row r="48">
      <c r="A48" s="4" t="inlineStr">
        <is>
          <t>Gross Margin</t>
        </is>
      </c>
      <c r="B48" s="5">
        <f>BDP($B$2,"GROSS_MARGIN")</f>
        <v/>
      </c>
      <c r="C48" s="11" t="inlineStr">
        <is>
          <t>gross_margin</t>
        </is>
      </c>
    </row>
    <row r="49">
      <c r="A49" s="4" t="inlineStr">
        <is>
          <t>Operating Margin</t>
        </is>
      </c>
      <c r="B49" s="5">
        <f>BDP($B$2,"OPER_MARGIN")</f>
        <v/>
      </c>
      <c r="C49" s="11" t="inlineStr">
        <is>
          <t>operating_margin</t>
        </is>
      </c>
    </row>
    <row r="50">
      <c r="A50" s="4" t="inlineStr">
        <is>
          <t>Net Margin</t>
        </is>
      </c>
      <c r="B50" s="5">
        <f>BDP($B$2,"PROF_MARGIN")</f>
        <v/>
      </c>
      <c r="C50" s="11" t="inlineStr">
        <is>
          <t>net_margin</t>
        </is>
      </c>
    </row>
    <row r="51">
      <c r="A51" s="4" t="inlineStr">
        <is>
          <t>ROE</t>
        </is>
      </c>
      <c r="B51" s="5">
        <f>BDP($B$2,"RETURN_COM_EQY")</f>
        <v/>
      </c>
      <c r="C51" s="11" t="inlineStr">
        <is>
          <t>roe</t>
        </is>
      </c>
    </row>
    <row r="52">
      <c r="A52" s="4" t="inlineStr">
        <is>
          <t>ROA</t>
        </is>
      </c>
      <c r="B52" s="5">
        <f>BDP($B$2,"RETURN_ON_ASSET")</f>
        <v/>
      </c>
      <c r="C52" s="11" t="inlineStr">
        <is>
          <t>roa</t>
        </is>
      </c>
    </row>
    <row r="53">
      <c r="A53" s="4" t="inlineStr">
        <is>
          <t>ROIC</t>
        </is>
      </c>
      <c r="B53" s="5">
        <f>BDP($B$2,"RETURN_ON_INV_CAPITAL")</f>
        <v/>
      </c>
      <c r="C53" s="11" t="inlineStr">
        <is>
          <t>roic</t>
        </is>
      </c>
    </row>
    <row r="54">
      <c r="A54" s="4" t="inlineStr">
        <is>
          <t>WACC</t>
        </is>
      </c>
      <c r="B54" s="5">
        <f>BDP($B$2,"WACC")/100</f>
        <v/>
      </c>
      <c r="C54" s="11" t="inlineStr">
        <is>
          <t>wacc</t>
        </is>
      </c>
    </row>
    <row r="55">
      <c r="A55" s="4" t="inlineStr">
        <is>
          <t>Current Ratio</t>
        </is>
      </c>
      <c r="B55" s="5">
        <f>BDP($B$2,"CUR_RATIO")</f>
        <v/>
      </c>
      <c r="C55" s="11" t="inlineStr">
        <is>
          <t>current_ratio</t>
        </is>
      </c>
    </row>
    <row r="56">
      <c r="A56" s="4" t="inlineStr">
        <is>
          <t>Debt/Equity</t>
        </is>
      </c>
      <c r="B56" s="5">
        <f>BDP($B$2,"TOT_DEBT_TO_TOT_EQY")</f>
        <v/>
      </c>
      <c r="C56" s="11" t="inlineStr">
        <is>
          <t>debt_to_equity</t>
        </is>
      </c>
    </row>
    <row r="57">
      <c r="A57" s="4" t="inlineStr">
        <is>
          <t>Interest Coverage</t>
        </is>
      </c>
      <c r="B57" s="5">
        <f>BDP($B$2,"INTEREST_COVERAGE_RATIO")</f>
        <v/>
      </c>
      <c r="C57" s="11" t="inlineStr">
        <is>
          <t>interest_coverage</t>
        </is>
      </c>
    </row>
    <row r="60">
      <c r="A60" s="7" t="inlineStr">
        <is>
          <t>DIVIDENDS</t>
        </is>
      </c>
      <c r="B60" s="8" t="n"/>
      <c r="C60" s="8" t="n"/>
    </row>
    <row r="61">
      <c r="A61" s="4" t="inlineStr">
        <is>
          <t>TTM DPS</t>
        </is>
      </c>
      <c r="B61" s="5">
        <f>BDP($B$2,"TRAIL_12M_DVD_PER_SH")</f>
        <v/>
      </c>
      <c r="C61" s="11" t="inlineStr">
        <is>
          <t>ttm_dps</t>
        </is>
      </c>
    </row>
    <row r="62">
      <c r="A62" s="4" t="inlineStr">
        <is>
          <t>Dividend Yield</t>
        </is>
      </c>
      <c r="B62" s="5">
        <f>BDP($B$2,"EQY_DVD_YLD_IND")</f>
        <v/>
      </c>
      <c r="C62" s="11" t="inlineStr">
        <is>
          <t>dividend_yield</t>
        </is>
      </c>
    </row>
    <row r="63">
      <c r="A63" s="4" t="inlineStr">
        <is>
          <t>Payout Ratio</t>
        </is>
      </c>
      <c r="B63" s="5">
        <f>BDP($B$2,"DVD_PAYOUT_RATIO")</f>
        <v/>
      </c>
      <c r="C63" s="11" t="inlineStr">
        <is>
          <t>payout_ratio</t>
        </is>
      </c>
    </row>
    <row r="64">
      <c r="A64" s="4" t="inlineStr">
        <is>
          <t>5Y Div Growth</t>
        </is>
      </c>
      <c r="B64" s="5">
        <f>BDP($B$2,"DVD_GRO_5Y")</f>
        <v/>
      </c>
      <c r="C64" s="11" t="inlineStr">
        <is>
          <t>div_growth_5y</t>
        </is>
      </c>
    </row>
    <row r="67">
      <c r="A67" s="7" t="inlineStr">
        <is>
          <t>OTHER</t>
        </is>
      </c>
      <c r="B67" s="8" t="n"/>
      <c r="C67" s="8" t="n"/>
    </row>
    <row r="68">
      <c r="A68" s="4" t="inlineStr">
        <is>
          <t>Inst. Ownership %</t>
        </is>
      </c>
      <c r="B68" s="5">
        <f>BDP($B$2,"EQY_INST_PCT_SH_OUT")</f>
        <v/>
      </c>
      <c r="C68" s="11" t="inlineStr">
        <is>
          <t>inst_ownership</t>
        </is>
      </c>
    </row>
    <row r="69">
      <c r="A69" s="4" t="inlineStr">
        <is>
          <t>Short Interest Ratio</t>
        </is>
      </c>
      <c r="B69" s="5">
        <f>BDP($B$2,"SHORT_INT_RATIO")</f>
        <v/>
      </c>
      <c r="C69" s="11" t="inlineStr">
        <is>
          <t>short_interest_ratio</t>
        </is>
      </c>
    </row>
    <row r="70">
      <c r="A70" s="4" t="inlineStr">
        <is>
          <t>Insider Ownership %</t>
        </is>
      </c>
      <c r="B70" s="5">
        <f>BDP($B$2,"PCT_INSIDER_SHARES_OUT")</f>
        <v/>
      </c>
      <c r="C70" s="11" t="inlineStr">
        <is>
          <t>insider_ownership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HISTORICAL FINANCIALS (5 Years)</t>
        </is>
      </c>
    </row>
    <row r="2">
      <c r="A2" s="4" t="inlineStr">
        <is>
          <t>Security:</t>
        </is>
      </c>
      <c r="B2">
        <f>Profile!B2</f>
        <v/>
      </c>
    </row>
    <row r="4">
      <c r="A4" s="7" t="inlineStr">
        <is>
          <t>Line Item</t>
        </is>
      </c>
      <c r="B4" s="12" t="inlineStr">
        <is>
          <t>5 Yrs Ago</t>
        </is>
      </c>
      <c r="C4" s="12" t="inlineStr">
        <is>
          <t>4 Yrs Ago</t>
        </is>
      </c>
      <c r="D4" s="12" t="inlineStr">
        <is>
          <t>3 Yrs Ago</t>
        </is>
      </c>
      <c r="E4" s="12" t="inlineStr">
        <is>
          <t>2 Yrs Ago</t>
        </is>
      </c>
      <c r="F4" s="12" t="inlineStr">
        <is>
          <t>Most Recent</t>
        </is>
      </c>
    </row>
    <row r="5">
      <c r="A5" s="13" t="inlineStr">
        <is>
          <t>INCOME STATEMENT</t>
        </is>
      </c>
      <c r="B5" s="14" t="n"/>
      <c r="C5" s="14" t="n"/>
      <c r="D5" s="14" t="n"/>
      <c r="E5" s="14" t="n"/>
      <c r="F5" s="14" t="n"/>
    </row>
    <row r="6">
      <c r="A6" s="10" t="inlineStr">
        <is>
          <t>Revenue</t>
        </is>
      </c>
      <c r="B6" s="15">
        <f>BDP($B$2,"SALES_REV_TURN","FUND_PER","FY","EQY_FUND_RELATIVE_PERIOD","-4")</f>
        <v/>
      </c>
      <c r="C6" s="15">
        <f>BDP($B$2,"SALES_REV_TURN","FUND_PER","FY","EQY_FUND_RELATIVE_PERIOD","-3")</f>
        <v/>
      </c>
      <c r="D6" s="15">
        <f>BDP($B$2,"SALES_REV_TURN","FUND_PER","FY","EQY_FUND_RELATIVE_PERIOD","-2")</f>
        <v/>
      </c>
      <c r="E6" s="15">
        <f>BDP($B$2,"SALES_REV_TURN","FUND_PER","FY","EQY_FUND_RELATIVE_PERIOD","-1")</f>
        <v/>
      </c>
      <c r="F6" s="15">
        <f>BDP($B$2,"SALES_REV_TURN","FUND_PER","FY","EQY_FUND_RELATIVE_PERIOD","0")</f>
        <v/>
      </c>
      <c r="G6" s="11" t="inlineStr">
        <is>
          <t>revenue</t>
        </is>
      </c>
    </row>
    <row r="7">
      <c r="A7" s="10" t="inlineStr">
        <is>
          <t>Cost of Revenue</t>
        </is>
      </c>
      <c r="B7" s="15">
        <f>BDP($B$2,"IS_COGS_TO_FE_AND_PP_AND_G","FUND_PER","FY","EQY_FUND_RELATIVE_PERIOD","-4")</f>
        <v/>
      </c>
      <c r="C7" s="15">
        <f>BDP($B$2,"IS_COGS_TO_FE_AND_PP_AND_G","FUND_PER","FY","EQY_FUND_RELATIVE_PERIOD","-3")</f>
        <v/>
      </c>
      <c r="D7" s="15">
        <f>BDP($B$2,"IS_COGS_TO_FE_AND_PP_AND_G","FUND_PER","FY","EQY_FUND_RELATIVE_PERIOD","-2")</f>
        <v/>
      </c>
      <c r="E7" s="15">
        <f>BDP($B$2,"IS_COGS_TO_FE_AND_PP_AND_G","FUND_PER","FY","EQY_FUND_RELATIVE_PERIOD","-1")</f>
        <v/>
      </c>
      <c r="F7" s="15">
        <f>BDP($B$2,"IS_COGS_TO_FE_AND_PP_AND_G","FUND_PER","FY","EQY_FUND_RELATIVE_PERIOD","0")</f>
        <v/>
      </c>
      <c r="G7" s="11" t="inlineStr">
        <is>
          <t>cost_of_revenue</t>
        </is>
      </c>
    </row>
    <row r="8">
      <c r="A8" s="10" t="inlineStr">
        <is>
          <t>Gross Profit</t>
        </is>
      </c>
      <c r="B8" s="15">
        <f>BDP($B$2,"GROSS_PROFIT","FUND_PER","FY","EQY_FUND_RELATIVE_PERIOD","-4")</f>
        <v/>
      </c>
      <c r="C8" s="15">
        <f>BDP($B$2,"GROSS_PROFIT","FUND_PER","FY","EQY_FUND_RELATIVE_PERIOD","-3")</f>
        <v/>
      </c>
      <c r="D8" s="15">
        <f>BDP($B$2,"GROSS_PROFIT","FUND_PER","FY","EQY_FUND_RELATIVE_PERIOD","-2")</f>
        <v/>
      </c>
      <c r="E8" s="15">
        <f>BDP($B$2,"GROSS_PROFIT","FUND_PER","FY","EQY_FUND_RELATIVE_PERIOD","-1")</f>
        <v/>
      </c>
      <c r="F8" s="15">
        <f>BDP($B$2,"GROSS_PROFIT","FUND_PER","FY","EQY_FUND_RELATIVE_PERIOD","0")</f>
        <v/>
      </c>
      <c r="G8" s="11" t="inlineStr">
        <is>
          <t>gross_profit</t>
        </is>
      </c>
    </row>
    <row r="9">
      <c r="A9" s="10" t="inlineStr">
        <is>
          <t>R&amp;D Expense</t>
        </is>
      </c>
      <c r="B9" s="15">
        <f>BDP($B$2,"IS_RD_EXPEND","FUND_PER","FY","EQY_FUND_RELATIVE_PERIOD","-4")</f>
        <v/>
      </c>
      <c r="C9" s="15">
        <f>BDP($B$2,"IS_RD_EXPEND","FUND_PER","FY","EQY_FUND_RELATIVE_PERIOD","-3")</f>
        <v/>
      </c>
      <c r="D9" s="15">
        <f>BDP($B$2,"IS_RD_EXPEND","FUND_PER","FY","EQY_FUND_RELATIVE_PERIOD","-2")</f>
        <v/>
      </c>
      <c r="E9" s="15">
        <f>BDP($B$2,"IS_RD_EXPEND","FUND_PER","FY","EQY_FUND_RELATIVE_PERIOD","-1")</f>
        <v/>
      </c>
      <c r="F9" s="15">
        <f>BDP($B$2,"IS_RD_EXPEND","FUND_PER","FY","EQY_FUND_RELATIVE_PERIOD","0")</f>
        <v/>
      </c>
      <c r="G9" s="11" t="inlineStr">
        <is>
          <t>rd_expense</t>
        </is>
      </c>
    </row>
    <row r="10">
      <c r="A10" s="10" t="inlineStr">
        <is>
          <t>SG&amp;A Expense</t>
        </is>
      </c>
      <c r="B10" s="15">
        <f>BDP($B$2,"IS_SGA_EXPEND","FUND_PER","FY","EQY_FUND_RELATIVE_PERIOD","-4")</f>
        <v/>
      </c>
      <c r="C10" s="15">
        <f>BDP($B$2,"IS_SGA_EXPEND","FUND_PER","FY","EQY_FUND_RELATIVE_PERIOD","-3")</f>
        <v/>
      </c>
      <c r="D10" s="15">
        <f>BDP($B$2,"IS_SGA_EXPEND","FUND_PER","FY","EQY_FUND_RELATIVE_PERIOD","-2")</f>
        <v/>
      </c>
      <c r="E10" s="15">
        <f>BDP($B$2,"IS_SGA_EXPEND","FUND_PER","FY","EQY_FUND_RELATIVE_PERIOD","-1")</f>
        <v/>
      </c>
      <c r="F10" s="15">
        <f>BDP($B$2,"IS_SGA_EXPEND","FUND_PER","FY","EQY_FUND_RELATIVE_PERIOD","0")</f>
        <v/>
      </c>
      <c r="G10" s="11" t="inlineStr">
        <is>
          <t>sga_expense</t>
        </is>
      </c>
    </row>
    <row r="11">
      <c r="A11" s="10" t="inlineStr">
        <is>
          <t>Operating Income</t>
        </is>
      </c>
      <c r="B11" s="15">
        <f>BDP($B$2,"IS_OPER_INC","FUND_PER","FY","EQY_FUND_RELATIVE_PERIOD","-4")</f>
        <v/>
      </c>
      <c r="C11" s="15">
        <f>BDP($B$2,"IS_OPER_INC","FUND_PER","FY","EQY_FUND_RELATIVE_PERIOD","-3")</f>
        <v/>
      </c>
      <c r="D11" s="15">
        <f>BDP($B$2,"IS_OPER_INC","FUND_PER","FY","EQY_FUND_RELATIVE_PERIOD","-2")</f>
        <v/>
      </c>
      <c r="E11" s="15">
        <f>BDP($B$2,"IS_OPER_INC","FUND_PER","FY","EQY_FUND_RELATIVE_PERIOD","-1")</f>
        <v/>
      </c>
      <c r="F11" s="15">
        <f>BDP($B$2,"IS_OPER_INC","FUND_PER","FY","EQY_FUND_RELATIVE_PERIOD","0")</f>
        <v/>
      </c>
      <c r="G11" s="11" t="inlineStr">
        <is>
          <t>operating_income</t>
        </is>
      </c>
    </row>
    <row r="12">
      <c r="A12" s="10" t="inlineStr">
        <is>
          <t>Interest Expense</t>
        </is>
      </c>
      <c r="B12" s="15">
        <f>BDP($B$2,"IS_INT_EXPENSE","FUND_PER","FY","EQY_FUND_RELATIVE_PERIOD","-4")</f>
        <v/>
      </c>
      <c r="C12" s="15">
        <f>BDP($B$2,"IS_INT_EXPENSE","FUND_PER","FY","EQY_FUND_RELATIVE_PERIOD","-3")</f>
        <v/>
      </c>
      <c r="D12" s="15">
        <f>BDP($B$2,"IS_INT_EXPENSE","FUND_PER","FY","EQY_FUND_RELATIVE_PERIOD","-2")</f>
        <v/>
      </c>
      <c r="E12" s="15">
        <f>BDP($B$2,"IS_INT_EXPENSE","FUND_PER","FY","EQY_FUND_RELATIVE_PERIOD","-1")</f>
        <v/>
      </c>
      <c r="F12" s="15">
        <f>BDP($B$2,"IS_INT_EXPENSE","FUND_PER","FY","EQY_FUND_RELATIVE_PERIOD","0")</f>
        <v/>
      </c>
      <c r="G12" s="11" t="inlineStr">
        <is>
          <t>interest_expense</t>
        </is>
      </c>
    </row>
    <row r="13">
      <c r="A13" s="10" t="inlineStr">
        <is>
          <t>Pretax Income</t>
        </is>
      </c>
      <c r="B13" s="15">
        <f>BDP($B$2,"PRETAX_INC","FUND_PER","FY","EQY_FUND_RELATIVE_PERIOD","-4")</f>
        <v/>
      </c>
      <c r="C13" s="15">
        <f>BDP($B$2,"PRETAX_INC","FUND_PER","FY","EQY_FUND_RELATIVE_PERIOD","-3")</f>
        <v/>
      </c>
      <c r="D13" s="15">
        <f>BDP($B$2,"PRETAX_INC","FUND_PER","FY","EQY_FUND_RELATIVE_PERIOD","-2")</f>
        <v/>
      </c>
      <c r="E13" s="15">
        <f>BDP($B$2,"PRETAX_INC","FUND_PER","FY","EQY_FUND_RELATIVE_PERIOD","-1")</f>
        <v/>
      </c>
      <c r="F13" s="15">
        <f>BDP($B$2,"PRETAX_INC","FUND_PER","FY","EQY_FUND_RELATIVE_PERIOD","0")</f>
        <v/>
      </c>
      <c r="G13" s="11" t="inlineStr">
        <is>
          <t>pretax_income</t>
        </is>
      </c>
    </row>
    <row r="14">
      <c r="A14" s="10" t="inlineStr">
        <is>
          <t>Tax Expense</t>
        </is>
      </c>
      <c r="B14" s="15">
        <f>BDP($B$2,"INCOME_TAX_EXPENSE","FUND_PER","FY","EQY_FUND_RELATIVE_PERIOD","-4")</f>
        <v/>
      </c>
      <c r="C14" s="15">
        <f>BDP($B$2,"INCOME_TAX_EXPENSE","FUND_PER","FY","EQY_FUND_RELATIVE_PERIOD","-3")</f>
        <v/>
      </c>
      <c r="D14" s="15">
        <f>BDP($B$2,"INCOME_TAX_EXPENSE","FUND_PER","FY","EQY_FUND_RELATIVE_PERIOD","-2")</f>
        <v/>
      </c>
      <c r="E14" s="15">
        <f>BDP($B$2,"INCOME_TAX_EXPENSE","FUND_PER","FY","EQY_FUND_RELATIVE_PERIOD","-1")</f>
        <v/>
      </c>
      <c r="F14" s="15">
        <f>BDP($B$2,"INCOME_TAX_EXPENSE","FUND_PER","FY","EQY_FUND_RELATIVE_PERIOD","0")</f>
        <v/>
      </c>
      <c r="G14" s="11" t="inlineStr">
        <is>
          <t>tax_expense</t>
        </is>
      </c>
    </row>
    <row r="15">
      <c r="A15" s="10" t="inlineStr">
        <is>
          <t>Net Income</t>
        </is>
      </c>
      <c r="B15" s="15">
        <f>BDP($B$2,"NET_INCOME","FUND_PER","FY","EQY_FUND_RELATIVE_PERIOD","-4")</f>
        <v/>
      </c>
      <c r="C15" s="15">
        <f>BDP($B$2,"NET_INCOME","FUND_PER","FY","EQY_FUND_RELATIVE_PERIOD","-3")</f>
        <v/>
      </c>
      <c r="D15" s="15">
        <f>BDP($B$2,"NET_INCOME","FUND_PER","FY","EQY_FUND_RELATIVE_PERIOD","-2")</f>
        <v/>
      </c>
      <c r="E15" s="15">
        <f>BDP($B$2,"NET_INCOME","FUND_PER","FY","EQY_FUND_RELATIVE_PERIOD","-1")</f>
        <v/>
      </c>
      <c r="F15" s="15">
        <f>BDP($B$2,"NET_INCOME","FUND_PER","FY","EQY_FUND_RELATIVE_PERIOD","0")</f>
        <v/>
      </c>
      <c r="G15" s="11" t="inlineStr">
        <is>
          <t>net_income</t>
        </is>
      </c>
    </row>
    <row r="16">
      <c r="A16" s="10" t="inlineStr">
        <is>
          <t>Diluted EPS</t>
        </is>
      </c>
      <c r="B16" s="15">
        <f>BDP($B$2,"IS_DILUTED_EPS","FUND_PER","FY","EQY_FUND_RELATIVE_PERIOD","-4")</f>
        <v/>
      </c>
      <c r="C16" s="15">
        <f>BDP($B$2,"IS_DILUTED_EPS","FUND_PER","FY","EQY_FUND_RELATIVE_PERIOD","-3")</f>
        <v/>
      </c>
      <c r="D16" s="15">
        <f>BDP($B$2,"IS_DILUTED_EPS","FUND_PER","FY","EQY_FUND_RELATIVE_PERIOD","-2")</f>
        <v/>
      </c>
      <c r="E16" s="15">
        <f>BDP($B$2,"IS_DILUTED_EPS","FUND_PER","FY","EQY_FUND_RELATIVE_PERIOD","-1")</f>
        <v/>
      </c>
      <c r="F16" s="15">
        <f>BDP($B$2,"IS_DILUTED_EPS","FUND_PER","FY","EQY_FUND_RELATIVE_PERIOD","0")</f>
        <v/>
      </c>
      <c r="G16" s="11" t="inlineStr">
        <is>
          <t>diluted_eps</t>
        </is>
      </c>
    </row>
    <row r="17">
      <c r="A17" s="10" t="inlineStr">
        <is>
          <t>Diluted Shares</t>
        </is>
      </c>
      <c r="B17" s="15">
        <f>BDP($B$2,"IS_SH_FOR_DILUTED_EPS","FUND_PER","FY","EQY_FUND_RELATIVE_PERIOD","-4")</f>
        <v/>
      </c>
      <c r="C17" s="15">
        <f>BDP($B$2,"IS_SH_FOR_DILUTED_EPS","FUND_PER","FY","EQY_FUND_RELATIVE_PERIOD","-3")</f>
        <v/>
      </c>
      <c r="D17" s="15">
        <f>BDP($B$2,"IS_SH_FOR_DILUTED_EPS","FUND_PER","FY","EQY_FUND_RELATIVE_PERIOD","-2")</f>
        <v/>
      </c>
      <c r="E17" s="15">
        <f>BDP($B$2,"IS_SH_FOR_DILUTED_EPS","FUND_PER","FY","EQY_FUND_RELATIVE_PERIOD","-1")</f>
        <v/>
      </c>
      <c r="F17" s="15">
        <f>BDP($B$2,"IS_SH_FOR_DILUTED_EPS","FUND_PER","FY","EQY_FUND_RELATIVE_PERIOD","0")</f>
        <v/>
      </c>
      <c r="G17" s="11" t="inlineStr">
        <is>
          <t>diluted_shares</t>
        </is>
      </c>
    </row>
    <row r="18">
      <c r="A18" s="10" t="inlineStr">
        <is>
          <t>EBITDA</t>
        </is>
      </c>
      <c r="B18" s="15">
        <f>BDP($B$2,"EBITDA","FUND_PER","FY","EQY_FUND_RELATIVE_PERIOD","-4")</f>
        <v/>
      </c>
      <c r="C18" s="15">
        <f>BDP($B$2,"EBITDA","FUND_PER","FY","EQY_FUND_RELATIVE_PERIOD","-3")</f>
        <v/>
      </c>
      <c r="D18" s="15">
        <f>BDP($B$2,"EBITDA","FUND_PER","FY","EQY_FUND_RELATIVE_PERIOD","-2")</f>
        <v/>
      </c>
      <c r="E18" s="15">
        <f>BDP($B$2,"EBITDA","FUND_PER","FY","EQY_FUND_RELATIVE_PERIOD","-1")</f>
        <v/>
      </c>
      <c r="F18" s="15">
        <f>BDP($B$2,"EBITDA","FUND_PER","FY","EQY_FUND_RELATIVE_PERIOD","0")</f>
        <v/>
      </c>
      <c r="G18" s="11" t="inlineStr">
        <is>
          <t>ebitda</t>
        </is>
      </c>
    </row>
    <row r="20">
      <c r="A20" s="13" t="inlineStr">
        <is>
          <t>CASH FLOW</t>
        </is>
      </c>
      <c r="B20" s="14" t="n"/>
      <c r="C20" s="14" t="n"/>
      <c r="D20" s="14" t="n"/>
      <c r="E20" s="14" t="n"/>
      <c r="F20" s="14" t="n"/>
    </row>
    <row r="21">
      <c r="A21" s="10" t="inlineStr">
        <is>
          <t>D&amp;A</t>
        </is>
      </c>
      <c r="B21" s="15">
        <f>BDP($B$2,"CF_DEPR_AMORT","FUND_PER","FY","EQY_FUND_RELATIVE_PERIOD","-4")</f>
        <v/>
      </c>
      <c r="C21" s="15">
        <f>BDP($B$2,"CF_DEPR_AMORT","FUND_PER","FY","EQY_FUND_RELATIVE_PERIOD","-3")</f>
        <v/>
      </c>
      <c r="D21" s="15">
        <f>BDP($B$2,"CF_DEPR_AMORT","FUND_PER","FY","EQY_FUND_RELATIVE_PERIOD","-2")</f>
        <v/>
      </c>
      <c r="E21" s="15">
        <f>BDP($B$2,"CF_DEPR_AMORT","FUND_PER","FY","EQY_FUND_RELATIVE_PERIOD","-1")</f>
        <v/>
      </c>
      <c r="F21" s="15">
        <f>BDP($B$2,"CF_DEPR_AMORT","FUND_PER","FY","EQY_FUND_RELATIVE_PERIOD","0")</f>
        <v/>
      </c>
      <c r="G21" s="11" t="inlineStr">
        <is>
          <t>depreciation</t>
        </is>
      </c>
    </row>
    <row r="22">
      <c r="A22" s="10" t="inlineStr">
        <is>
          <t>Operating Cash Flow</t>
        </is>
      </c>
      <c r="B22" s="15">
        <f>BDP($B$2,"CF_CASH_FROM_OPER","FUND_PER","FY","EQY_FUND_RELATIVE_PERIOD","-4")</f>
        <v/>
      </c>
      <c r="C22" s="15">
        <f>BDP($B$2,"CF_CASH_FROM_OPER","FUND_PER","FY","EQY_FUND_RELATIVE_PERIOD","-3")</f>
        <v/>
      </c>
      <c r="D22" s="15">
        <f>BDP($B$2,"CF_CASH_FROM_OPER","FUND_PER","FY","EQY_FUND_RELATIVE_PERIOD","-2")</f>
        <v/>
      </c>
      <c r="E22" s="15">
        <f>BDP($B$2,"CF_CASH_FROM_OPER","FUND_PER","FY","EQY_FUND_RELATIVE_PERIOD","-1")</f>
        <v/>
      </c>
      <c r="F22" s="15">
        <f>BDP($B$2,"CF_CASH_FROM_OPER","FUND_PER","FY","EQY_FUND_RELATIVE_PERIOD","0")</f>
        <v/>
      </c>
      <c r="G22" s="11" t="inlineStr">
        <is>
          <t>operating_cash_flow</t>
        </is>
      </c>
    </row>
    <row r="23">
      <c r="A23" s="10" t="inlineStr">
        <is>
          <t>Capital Expenditures</t>
        </is>
      </c>
      <c r="B23" s="15">
        <f>BDP($B$2,"CAPITAL_EXPEND","FUND_PER","FY","EQY_FUND_RELATIVE_PERIOD","-4")</f>
        <v/>
      </c>
      <c r="C23" s="15">
        <f>BDP($B$2,"CAPITAL_EXPEND","FUND_PER","FY","EQY_FUND_RELATIVE_PERIOD","-3")</f>
        <v/>
      </c>
      <c r="D23" s="15">
        <f>BDP($B$2,"CAPITAL_EXPEND","FUND_PER","FY","EQY_FUND_RELATIVE_PERIOD","-2")</f>
        <v/>
      </c>
      <c r="E23" s="15">
        <f>BDP($B$2,"CAPITAL_EXPEND","FUND_PER","FY","EQY_FUND_RELATIVE_PERIOD","-1")</f>
        <v/>
      </c>
      <c r="F23" s="15">
        <f>BDP($B$2,"CAPITAL_EXPEND","FUND_PER","FY","EQY_FUND_RELATIVE_PERIOD","0")</f>
        <v/>
      </c>
      <c r="G23" s="11" t="inlineStr">
        <is>
          <t>capex</t>
        </is>
      </c>
    </row>
    <row r="24">
      <c r="A24" s="10" t="inlineStr">
        <is>
          <t>Free Cash Flow</t>
        </is>
      </c>
      <c r="B24" s="15">
        <f>BDP($B$2,"CF_FREE_CASH_FLOW","FUND_PER","FY","EQY_FUND_RELATIVE_PERIOD","-4")</f>
        <v/>
      </c>
      <c r="C24" s="15">
        <f>BDP($B$2,"CF_FREE_CASH_FLOW","FUND_PER","FY","EQY_FUND_RELATIVE_PERIOD","-3")</f>
        <v/>
      </c>
      <c r="D24" s="15">
        <f>BDP($B$2,"CF_FREE_CASH_FLOW","FUND_PER","FY","EQY_FUND_RELATIVE_PERIOD","-2")</f>
        <v/>
      </c>
      <c r="E24" s="15">
        <f>BDP($B$2,"CF_FREE_CASH_FLOW","FUND_PER","FY","EQY_FUND_RELATIVE_PERIOD","-1")</f>
        <v/>
      </c>
      <c r="F24" s="15">
        <f>BDP($B$2,"CF_FREE_CASH_FLOW","FUND_PER","FY","EQY_FUND_RELATIVE_PERIOD","0")</f>
        <v/>
      </c>
      <c r="G24" s="11" t="inlineStr">
        <is>
          <t>free_cash_flow</t>
        </is>
      </c>
    </row>
    <row r="25">
      <c r="A25" s="10" t="inlineStr">
        <is>
          <t>Dividends Paid</t>
        </is>
      </c>
      <c r="B25" s="15">
        <f>BDP($B$2,"CF_DVD_PAID","FUND_PER","FY","EQY_FUND_RELATIVE_PERIOD","-4")</f>
        <v/>
      </c>
      <c r="C25" s="15">
        <f>BDP($B$2,"CF_DVD_PAID","FUND_PER","FY","EQY_FUND_RELATIVE_PERIOD","-3")</f>
        <v/>
      </c>
      <c r="D25" s="15">
        <f>BDP($B$2,"CF_DVD_PAID","FUND_PER","FY","EQY_FUND_RELATIVE_PERIOD","-2")</f>
        <v/>
      </c>
      <c r="E25" s="15">
        <f>BDP($B$2,"CF_DVD_PAID","FUND_PER","FY","EQY_FUND_RELATIVE_PERIOD","-1")</f>
        <v/>
      </c>
      <c r="F25" s="15">
        <f>BDP($B$2,"CF_DVD_PAID","FUND_PER","FY","EQY_FUND_RELATIVE_PERIOD","0")</f>
        <v/>
      </c>
      <c r="G25" s="11" t="inlineStr">
        <is>
          <t>dividends_paid</t>
        </is>
      </c>
    </row>
    <row r="26">
      <c r="A26" s="10" t="inlineStr">
        <is>
          <t>Share Repurchases</t>
        </is>
      </c>
      <c r="B26" s="15">
        <f>BDP($B$2,"CF_SHARE_REPURCHASE","FUND_PER","FY","EQY_FUND_RELATIVE_PERIOD","-4")</f>
        <v/>
      </c>
      <c r="C26" s="15">
        <f>BDP($B$2,"CF_SHARE_REPURCHASE","FUND_PER","FY","EQY_FUND_RELATIVE_PERIOD","-3")</f>
        <v/>
      </c>
      <c r="D26" s="15">
        <f>BDP($B$2,"CF_SHARE_REPURCHASE","FUND_PER","FY","EQY_FUND_RELATIVE_PERIOD","-2")</f>
        <v/>
      </c>
      <c r="E26" s="15">
        <f>BDP($B$2,"CF_SHARE_REPURCHASE","FUND_PER","FY","EQY_FUND_RELATIVE_PERIOD","-1")</f>
        <v/>
      </c>
      <c r="F26" s="15">
        <f>BDP($B$2,"CF_SHARE_REPURCHASE","FUND_PER","FY","EQY_FUND_RELATIVE_PERIOD","0")</f>
        <v/>
      </c>
      <c r="G26" s="11" t="inlineStr">
        <is>
          <t>share_repurchases</t>
        </is>
      </c>
    </row>
    <row r="28">
      <c r="A28" s="13" t="inlineStr">
        <is>
          <t>BALANCE SHEET</t>
        </is>
      </c>
      <c r="B28" s="14" t="n"/>
      <c r="C28" s="14" t="n"/>
      <c r="D28" s="14" t="n"/>
      <c r="E28" s="14" t="n"/>
      <c r="F28" s="14" t="n"/>
    </row>
    <row r="29">
      <c r="A29" s="10" t="inlineStr">
        <is>
          <t>Cash &amp; Equivalents</t>
        </is>
      </c>
      <c r="B29" s="15">
        <f>BDP($B$2,"BS_CASH_NEAR_CASH_ITEM","FUND_PER","FY","EQY_FUND_RELATIVE_PERIOD","-4")</f>
        <v/>
      </c>
      <c r="C29" s="15">
        <f>BDP($B$2,"BS_CASH_NEAR_CASH_ITEM","FUND_PER","FY","EQY_FUND_RELATIVE_PERIOD","-3")</f>
        <v/>
      </c>
      <c r="D29" s="15">
        <f>BDP($B$2,"BS_CASH_NEAR_CASH_ITEM","FUND_PER","FY","EQY_FUND_RELATIVE_PERIOD","-2")</f>
        <v/>
      </c>
      <c r="E29" s="15">
        <f>BDP($B$2,"BS_CASH_NEAR_CASH_ITEM","FUND_PER","FY","EQY_FUND_RELATIVE_PERIOD","-1")</f>
        <v/>
      </c>
      <c r="F29" s="15">
        <f>BDP($B$2,"BS_CASH_NEAR_CASH_ITEM","FUND_PER","FY","EQY_FUND_RELATIVE_PERIOD","0")</f>
        <v/>
      </c>
      <c r="G29" s="11" t="inlineStr">
        <is>
          <t>cash</t>
        </is>
      </c>
    </row>
    <row r="30">
      <c r="A30" s="10" t="inlineStr">
        <is>
          <t>Total Current Assets</t>
        </is>
      </c>
      <c r="B30" s="15">
        <f>BDP($B$2,"BS_CUR_ASSET_REPORT","FUND_PER","FY","EQY_FUND_RELATIVE_PERIOD","-4")</f>
        <v/>
      </c>
      <c r="C30" s="15">
        <f>BDP($B$2,"BS_CUR_ASSET_REPORT","FUND_PER","FY","EQY_FUND_RELATIVE_PERIOD","-3")</f>
        <v/>
      </c>
      <c r="D30" s="15">
        <f>BDP($B$2,"BS_CUR_ASSET_REPORT","FUND_PER","FY","EQY_FUND_RELATIVE_PERIOD","-2")</f>
        <v/>
      </c>
      <c r="E30" s="15">
        <f>BDP($B$2,"BS_CUR_ASSET_REPORT","FUND_PER","FY","EQY_FUND_RELATIVE_PERIOD","-1")</f>
        <v/>
      </c>
      <c r="F30" s="15">
        <f>BDP($B$2,"BS_CUR_ASSET_REPORT","FUND_PER","FY","EQY_FUND_RELATIVE_PERIOD","0")</f>
        <v/>
      </c>
      <c r="G30" s="11" t="inlineStr">
        <is>
          <t>current_assets</t>
        </is>
      </c>
    </row>
    <row r="31">
      <c r="A31" s="10" t="inlineStr">
        <is>
          <t>Total Assets</t>
        </is>
      </c>
      <c r="B31" s="15">
        <f>BDP($B$2,"BS_TOT_ASSET","FUND_PER","FY","EQY_FUND_RELATIVE_PERIOD","-4")</f>
        <v/>
      </c>
      <c r="C31" s="15">
        <f>BDP($B$2,"BS_TOT_ASSET","FUND_PER","FY","EQY_FUND_RELATIVE_PERIOD","-3")</f>
        <v/>
      </c>
      <c r="D31" s="15">
        <f>BDP($B$2,"BS_TOT_ASSET","FUND_PER","FY","EQY_FUND_RELATIVE_PERIOD","-2")</f>
        <v/>
      </c>
      <c r="E31" s="15">
        <f>BDP($B$2,"BS_TOT_ASSET","FUND_PER","FY","EQY_FUND_RELATIVE_PERIOD","-1")</f>
        <v/>
      </c>
      <c r="F31" s="15">
        <f>BDP($B$2,"BS_TOT_ASSET","FUND_PER","FY","EQY_FUND_RELATIVE_PERIOD","0")</f>
        <v/>
      </c>
      <c r="G31" s="11" t="inlineStr">
        <is>
          <t>total_assets</t>
        </is>
      </c>
    </row>
    <row r="32">
      <c r="A32" s="10" t="inlineStr">
        <is>
          <t>Total Current Liab</t>
        </is>
      </c>
      <c r="B32" s="15">
        <f>BDP($B$2,"BS_CUR_LIAB","FUND_PER","FY","EQY_FUND_RELATIVE_PERIOD","-4")</f>
        <v/>
      </c>
      <c r="C32" s="15">
        <f>BDP($B$2,"BS_CUR_LIAB","FUND_PER","FY","EQY_FUND_RELATIVE_PERIOD","-3")</f>
        <v/>
      </c>
      <c r="D32" s="15">
        <f>BDP($B$2,"BS_CUR_LIAB","FUND_PER","FY","EQY_FUND_RELATIVE_PERIOD","-2")</f>
        <v/>
      </c>
      <c r="E32" s="15">
        <f>BDP($B$2,"BS_CUR_LIAB","FUND_PER","FY","EQY_FUND_RELATIVE_PERIOD","-1")</f>
        <v/>
      </c>
      <c r="F32" s="15">
        <f>BDP($B$2,"BS_CUR_LIAB","FUND_PER","FY","EQY_FUND_RELATIVE_PERIOD","0")</f>
        <v/>
      </c>
      <c r="G32" s="11" t="inlineStr">
        <is>
          <t>current_liabilities</t>
        </is>
      </c>
    </row>
    <row r="33">
      <c r="A33" s="10" t="inlineStr">
        <is>
          <t>Short-Term Debt</t>
        </is>
      </c>
      <c r="B33" s="15">
        <f>BDP($B$2,"BS_ST_BORROW","FUND_PER","FY","EQY_FUND_RELATIVE_PERIOD","-4")</f>
        <v/>
      </c>
      <c r="C33" s="15">
        <f>BDP($B$2,"BS_ST_BORROW","FUND_PER","FY","EQY_FUND_RELATIVE_PERIOD","-3")</f>
        <v/>
      </c>
      <c r="D33" s="15">
        <f>BDP($B$2,"BS_ST_BORROW","FUND_PER","FY","EQY_FUND_RELATIVE_PERIOD","-2")</f>
        <v/>
      </c>
      <c r="E33" s="15">
        <f>BDP($B$2,"BS_ST_BORROW","FUND_PER","FY","EQY_FUND_RELATIVE_PERIOD","-1")</f>
        <v/>
      </c>
      <c r="F33" s="15">
        <f>BDP($B$2,"BS_ST_BORROW","FUND_PER","FY","EQY_FUND_RELATIVE_PERIOD","0")</f>
        <v/>
      </c>
      <c r="G33" s="11" t="inlineStr">
        <is>
          <t>short_term_debt</t>
        </is>
      </c>
    </row>
    <row r="34">
      <c r="A34" s="10" t="inlineStr">
        <is>
          <t>Long-Term Debt</t>
        </is>
      </c>
      <c r="B34" s="15">
        <f>BDP($B$2,"BS_LT_BORROW","FUND_PER","FY","EQY_FUND_RELATIVE_PERIOD","-4")</f>
        <v/>
      </c>
      <c r="C34" s="15">
        <f>BDP($B$2,"BS_LT_BORROW","FUND_PER","FY","EQY_FUND_RELATIVE_PERIOD","-3")</f>
        <v/>
      </c>
      <c r="D34" s="15">
        <f>BDP($B$2,"BS_LT_BORROW","FUND_PER","FY","EQY_FUND_RELATIVE_PERIOD","-2")</f>
        <v/>
      </c>
      <c r="E34" s="15">
        <f>BDP($B$2,"BS_LT_BORROW","FUND_PER","FY","EQY_FUND_RELATIVE_PERIOD","-1")</f>
        <v/>
      </c>
      <c r="F34" s="15">
        <f>BDP($B$2,"BS_LT_BORROW","FUND_PER","FY","EQY_FUND_RELATIVE_PERIOD","0")</f>
        <v/>
      </c>
      <c r="G34" s="11" t="inlineStr">
        <is>
          <t>long_term_debt</t>
        </is>
      </c>
    </row>
    <row r="35">
      <c r="A35" s="10" t="inlineStr">
        <is>
          <t>Total Liabilities</t>
        </is>
      </c>
      <c r="B35" s="15">
        <f>BDP($B$2,"TOT_LIAB","FUND_PER","FY","EQY_FUND_RELATIVE_PERIOD","-4")</f>
        <v/>
      </c>
      <c r="C35" s="15">
        <f>BDP($B$2,"TOT_LIAB","FUND_PER","FY","EQY_FUND_RELATIVE_PERIOD","-3")</f>
        <v/>
      </c>
      <c r="D35" s="15">
        <f>BDP($B$2,"TOT_LIAB","FUND_PER","FY","EQY_FUND_RELATIVE_PERIOD","-2")</f>
        <v/>
      </c>
      <c r="E35" s="15">
        <f>BDP($B$2,"TOT_LIAB","FUND_PER","FY","EQY_FUND_RELATIVE_PERIOD","-1")</f>
        <v/>
      </c>
      <c r="F35" s="15">
        <f>BDP($B$2,"TOT_LIAB","FUND_PER","FY","EQY_FUND_RELATIVE_PERIOD","0")</f>
        <v/>
      </c>
      <c r="G35" s="11" t="inlineStr">
        <is>
          <t>total_liabilities</t>
        </is>
      </c>
    </row>
    <row r="36">
      <c r="A36" s="10" t="inlineStr">
        <is>
          <t>Shareholders Equity</t>
        </is>
      </c>
      <c r="B36" s="15">
        <f>BDP($B$2,"TOTAL_EQUITY","FUND_PER","FY","EQY_FUND_RELATIVE_PERIOD","-4")</f>
        <v/>
      </c>
      <c r="C36" s="15">
        <f>BDP($B$2,"TOTAL_EQUITY","FUND_PER","FY","EQY_FUND_RELATIVE_PERIOD","-3")</f>
        <v/>
      </c>
      <c r="D36" s="15">
        <f>BDP($B$2,"TOTAL_EQUITY","FUND_PER","FY","EQY_FUND_RELATIVE_PERIOD","-2")</f>
        <v/>
      </c>
      <c r="E36" s="15">
        <f>BDP($B$2,"TOTAL_EQUITY","FUND_PER","FY","EQY_FUND_RELATIVE_PERIOD","-1")</f>
        <v/>
      </c>
      <c r="F36" s="15">
        <f>BDP($B$2,"TOTAL_EQUITY","FUND_PER","FY","EQY_FUND_RELATIVE_PERIOD","0")</f>
        <v/>
      </c>
      <c r="G36" s="11" t="inlineStr">
        <is>
          <t>shareholders_equity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PEER COMPANIES</t>
        </is>
      </c>
    </row>
    <row r="2">
      <c r="A2" s="4" t="inlineStr">
        <is>
          <t>Security:</t>
        </is>
      </c>
      <c r="B2">
        <f>Profile!B2</f>
        <v/>
      </c>
    </row>
    <row r="4">
      <c r="A4" s="7" t="inlineStr">
        <is>
          <t>Peer List (BDS)</t>
        </is>
      </c>
      <c r="B4" s="8" t="n"/>
    </row>
    <row r="5">
      <c r="A5" s="5">
        <f>BDS($B$2,"PEER_RANKED_LIST")</f>
        <v/>
      </c>
    </row>
    <row r="20">
      <c r="A20" s="1" t="inlineStr">
        <is>
          <t>PEER COMPARISON</t>
        </is>
      </c>
    </row>
    <row r="21">
      <c r="A21" s="7" t="inlineStr">
        <is>
          <t>Ticker</t>
        </is>
      </c>
      <c r="B21" s="7" t="inlineStr">
        <is>
          <t>Name</t>
        </is>
      </c>
      <c r="C21" s="7" t="inlineStr">
        <is>
          <t>Price</t>
        </is>
      </c>
      <c r="D21" s="7" t="inlineStr">
        <is>
          <t>Mkt Cap (M)</t>
        </is>
      </c>
      <c r="E21" s="7" t="inlineStr">
        <is>
          <t>P/E</t>
        </is>
      </c>
      <c r="F21" s="7" t="inlineStr">
        <is>
          <t>Fwd P/E</t>
        </is>
      </c>
      <c r="G21" s="7" t="inlineStr">
        <is>
          <t>EV/EBITDA</t>
        </is>
      </c>
      <c r="H21" s="12" t="inlineStr">
        <is>
          <t>P/S</t>
        </is>
      </c>
      <c r="I21" s="12" t="inlineStr">
        <is>
          <t>P/B</t>
        </is>
      </c>
      <c r="J21" s="12" t="inlineStr">
        <is>
          <t>PEG</t>
        </is>
      </c>
      <c r="K21" s="12" t="inlineStr">
        <is>
          <t>Gross Mgn</t>
        </is>
      </c>
      <c r="L21" s="12" t="inlineStr">
        <is>
          <t>Op Mgn</t>
        </is>
      </c>
      <c r="M21" s="12" t="inlineStr">
        <is>
          <t>Net Mgn</t>
        </is>
      </c>
      <c r="N21" s="12" t="inlineStr">
        <is>
          <t>ROE</t>
        </is>
      </c>
      <c r="O21" s="12" t="inlineStr">
        <is>
          <t>Div Yield</t>
        </is>
      </c>
      <c r="P21" s="12" t="inlineStr">
        <is>
          <t>Beta</t>
        </is>
      </c>
      <c r="Q21" s="12" t="inlineStr">
        <is>
          <t>Target Price</t>
        </is>
      </c>
    </row>
    <row r="22">
      <c r="A22" s="16">
        <f>Profile!B1</f>
        <v/>
      </c>
      <c r="B22" s="5">
        <f>BDP($B$2,"NAME")</f>
        <v/>
      </c>
      <c r="C22" s="5">
        <f>BDP($B$2,"PX_LAST")</f>
        <v/>
      </c>
      <c r="D22" s="5">
        <f>BDP($B$2,"CUR_MKT_CAP")</f>
        <v/>
      </c>
      <c r="E22" s="5">
        <f>BDP($B$2,"PE_RATIO")</f>
        <v/>
      </c>
      <c r="F22" s="5">
        <f>BDP($B$2,"BEST_PE_RATIO")</f>
        <v/>
      </c>
      <c r="G22" s="5">
        <f>BDP($B$2,"BEST_CUR_EV_TO_EBITDA")</f>
        <v/>
      </c>
      <c r="H22" s="5">
        <f>BDP($B$2,"PX_TO_SALES_RATIO")</f>
        <v/>
      </c>
      <c r="I22" s="5">
        <f>BDP($B$2,"PX_TO_BOOK_RATIO")</f>
        <v/>
      </c>
      <c r="J22" s="5">
        <f>BDP($B$2,"BEST_PEG_RATIO")</f>
        <v/>
      </c>
      <c r="K22" s="5">
        <f>BDP($B$2,"GROSS_MARGIN")</f>
        <v/>
      </c>
      <c r="L22" s="5">
        <f>BDP($B$2,"OPER_MARGIN")</f>
        <v/>
      </c>
      <c r="M22" s="5">
        <f>BDP($B$2,"PROF_MARGIN")</f>
        <v/>
      </c>
      <c r="N22" s="5">
        <f>BDP($B$2,"RETURN_COM_EQY")</f>
        <v/>
      </c>
      <c r="O22" s="5">
        <f>BDP($B$2,"EQY_DVD_YLD_IND")</f>
        <v/>
      </c>
      <c r="P22" s="5">
        <f>BDP($B$2,"BETA_RAW_OVERRIDABLE")</f>
        <v/>
      </c>
      <c r="Q22" s="5">
        <f>BDP($B$2,"BEST_TARGET_PRICE")</f>
        <v/>
      </c>
    </row>
    <row r="23">
      <c r="A23" s="5">
        <f>IF(A5="","",A5)</f>
        <v/>
      </c>
      <c r="B23" s="5">
        <f>IF($A23="","",BDP($A23&amp;" US Equity","NAME"))</f>
        <v/>
      </c>
      <c r="C23" s="5">
        <f>IF($A23="","",BDP($A23&amp;" US Equity","PX_LAST"))</f>
        <v/>
      </c>
      <c r="D23" s="5">
        <f>IF($A23="","",BDP($A23&amp;" US Equity","CUR_MKT_CAP"))</f>
        <v/>
      </c>
      <c r="E23" s="5">
        <f>IF($A23="","",BDP($A23&amp;" US Equity","PE_RATIO"))</f>
        <v/>
      </c>
      <c r="F23" s="5">
        <f>IF($A23="","",BDP($A23&amp;" US Equity","BEST_PE_RATIO"))</f>
        <v/>
      </c>
      <c r="G23" s="5">
        <f>IF($A23="","",BDP($A23&amp;" US Equity","BEST_CUR_EV_TO_EBITDA"))</f>
        <v/>
      </c>
      <c r="H23" s="5">
        <f>IF($A23="","",BDP($A23&amp;" US Equity","PX_TO_SALES_RATIO"))</f>
        <v/>
      </c>
      <c r="I23" s="5">
        <f>IF($A23="","",BDP($A23&amp;" US Equity","PX_TO_BOOK_RATIO"))</f>
        <v/>
      </c>
      <c r="J23" s="5">
        <f>IF($A23="","",BDP($A23&amp;" US Equity","BEST_PEG_RATIO"))</f>
        <v/>
      </c>
      <c r="K23" s="5">
        <f>IF($A23="","",BDP($A23&amp;" US Equity","GROSS_MARGIN"))</f>
        <v/>
      </c>
      <c r="L23" s="5">
        <f>IF($A23="","",BDP($A23&amp;" US Equity","OPER_MARGIN"))</f>
        <v/>
      </c>
      <c r="M23" s="5">
        <f>IF($A23="","",BDP($A23&amp;" US Equity","PROF_MARGIN"))</f>
        <v/>
      </c>
      <c r="N23" s="5">
        <f>IF($A23="","",BDP($A23&amp;" US Equity","RETURN_COM_EQY"))</f>
        <v/>
      </c>
      <c r="O23" s="5">
        <f>IF($A23="","",BDP($A23&amp;" US Equity","EQY_DVD_YLD_IND"))</f>
        <v/>
      </c>
      <c r="P23" s="5">
        <f>IF($A23="","",BDP($A23&amp;" US Equity","BETA_RAW_OVERRIDABLE"))</f>
        <v/>
      </c>
      <c r="Q23" s="5">
        <f>IF($A23="","",BDP($A23&amp;" US Equity","BEST_TARGET_PRICE"))</f>
        <v/>
      </c>
    </row>
    <row r="24">
      <c r="A24" s="5">
        <f>IF(A6="","",A6)</f>
        <v/>
      </c>
      <c r="B24" s="5">
        <f>IF($A24="","",BDP($A24&amp;" US Equity","NAME"))</f>
        <v/>
      </c>
      <c r="C24" s="5">
        <f>IF($A24="","",BDP($A24&amp;" US Equity","PX_LAST"))</f>
        <v/>
      </c>
      <c r="D24" s="5">
        <f>IF($A24="","",BDP($A24&amp;" US Equity","CUR_MKT_CAP"))</f>
        <v/>
      </c>
      <c r="E24" s="5">
        <f>IF($A24="","",BDP($A24&amp;" US Equity","PE_RATIO"))</f>
        <v/>
      </c>
      <c r="F24" s="5">
        <f>IF($A24="","",BDP($A24&amp;" US Equity","BEST_PE_RATIO"))</f>
        <v/>
      </c>
      <c r="G24" s="5">
        <f>IF($A24="","",BDP($A24&amp;" US Equity","BEST_CUR_EV_TO_EBITDA"))</f>
        <v/>
      </c>
      <c r="H24" s="5">
        <f>IF($A24="","",BDP($A24&amp;" US Equity","PX_TO_SALES_RATIO"))</f>
        <v/>
      </c>
      <c r="I24" s="5">
        <f>IF($A24="","",BDP($A24&amp;" US Equity","PX_TO_BOOK_RATIO"))</f>
        <v/>
      </c>
      <c r="J24" s="5">
        <f>IF($A24="","",BDP($A24&amp;" US Equity","BEST_PEG_RATIO"))</f>
        <v/>
      </c>
      <c r="K24" s="5">
        <f>IF($A24="","",BDP($A24&amp;" US Equity","GROSS_MARGIN"))</f>
        <v/>
      </c>
      <c r="L24" s="5">
        <f>IF($A24="","",BDP($A24&amp;" US Equity","OPER_MARGIN"))</f>
        <v/>
      </c>
      <c r="M24" s="5">
        <f>IF($A24="","",BDP($A24&amp;" US Equity","PROF_MARGIN"))</f>
        <v/>
      </c>
      <c r="N24" s="5">
        <f>IF($A24="","",BDP($A24&amp;" US Equity","RETURN_COM_EQY"))</f>
        <v/>
      </c>
      <c r="O24" s="5">
        <f>IF($A24="","",BDP($A24&amp;" US Equity","EQY_DVD_YLD_IND"))</f>
        <v/>
      </c>
      <c r="P24" s="5">
        <f>IF($A24="","",BDP($A24&amp;" US Equity","BETA_RAW_OVERRIDABLE"))</f>
        <v/>
      </c>
      <c r="Q24" s="5">
        <f>IF($A24="","",BDP($A24&amp;" US Equity","BEST_TARGET_PRICE"))</f>
        <v/>
      </c>
    </row>
    <row r="25">
      <c r="A25" s="5">
        <f>IF(A7="","",A7)</f>
        <v/>
      </c>
      <c r="B25" s="5">
        <f>IF($A25="","",BDP($A25&amp;" US Equity","NAME"))</f>
        <v/>
      </c>
      <c r="C25" s="5">
        <f>IF($A25="","",BDP($A25&amp;" US Equity","PX_LAST"))</f>
        <v/>
      </c>
      <c r="D25" s="5">
        <f>IF($A25="","",BDP($A25&amp;" US Equity","CUR_MKT_CAP"))</f>
        <v/>
      </c>
      <c r="E25" s="5">
        <f>IF($A25="","",BDP($A25&amp;" US Equity","PE_RATIO"))</f>
        <v/>
      </c>
      <c r="F25" s="5">
        <f>IF($A25="","",BDP($A25&amp;" US Equity","BEST_PE_RATIO"))</f>
        <v/>
      </c>
      <c r="G25" s="5">
        <f>IF($A25="","",BDP($A25&amp;" US Equity","BEST_CUR_EV_TO_EBITDA"))</f>
        <v/>
      </c>
      <c r="H25" s="5">
        <f>IF($A25="","",BDP($A25&amp;" US Equity","PX_TO_SALES_RATIO"))</f>
        <v/>
      </c>
      <c r="I25" s="5">
        <f>IF($A25="","",BDP($A25&amp;" US Equity","PX_TO_BOOK_RATIO"))</f>
        <v/>
      </c>
      <c r="J25" s="5">
        <f>IF($A25="","",BDP($A25&amp;" US Equity","BEST_PEG_RATIO"))</f>
        <v/>
      </c>
      <c r="K25" s="5">
        <f>IF($A25="","",BDP($A25&amp;" US Equity","GROSS_MARGIN"))</f>
        <v/>
      </c>
      <c r="L25" s="5">
        <f>IF($A25="","",BDP($A25&amp;" US Equity","OPER_MARGIN"))</f>
        <v/>
      </c>
      <c r="M25" s="5">
        <f>IF($A25="","",BDP($A25&amp;" US Equity","PROF_MARGIN"))</f>
        <v/>
      </c>
      <c r="N25" s="5">
        <f>IF($A25="","",BDP($A25&amp;" US Equity","RETURN_COM_EQY"))</f>
        <v/>
      </c>
      <c r="O25" s="5">
        <f>IF($A25="","",BDP($A25&amp;" US Equity","EQY_DVD_YLD_IND"))</f>
        <v/>
      </c>
      <c r="P25" s="5">
        <f>IF($A25="","",BDP($A25&amp;" US Equity","BETA_RAW_OVERRIDABLE"))</f>
        <v/>
      </c>
      <c r="Q25" s="5">
        <f>IF($A25="","",BDP($A25&amp;" US Equity","BEST_TARGET_PRICE"))</f>
        <v/>
      </c>
    </row>
    <row r="26">
      <c r="A26" s="5">
        <f>IF(A8="","",A8)</f>
        <v/>
      </c>
      <c r="B26" s="5">
        <f>IF($A26="","",BDP($A26&amp;" US Equity","NAME"))</f>
        <v/>
      </c>
      <c r="C26" s="5">
        <f>IF($A26="","",BDP($A26&amp;" US Equity","PX_LAST"))</f>
        <v/>
      </c>
      <c r="D26" s="5">
        <f>IF($A26="","",BDP($A26&amp;" US Equity","CUR_MKT_CAP"))</f>
        <v/>
      </c>
      <c r="E26" s="5">
        <f>IF($A26="","",BDP($A26&amp;" US Equity","PE_RATIO"))</f>
        <v/>
      </c>
      <c r="F26" s="5">
        <f>IF($A26="","",BDP($A26&amp;" US Equity","BEST_PE_RATIO"))</f>
        <v/>
      </c>
      <c r="G26" s="5">
        <f>IF($A26="","",BDP($A26&amp;" US Equity","BEST_CUR_EV_TO_EBITDA"))</f>
        <v/>
      </c>
      <c r="H26" s="5">
        <f>IF($A26="","",BDP($A26&amp;" US Equity","PX_TO_SALES_RATIO"))</f>
        <v/>
      </c>
      <c r="I26" s="5">
        <f>IF($A26="","",BDP($A26&amp;" US Equity","PX_TO_BOOK_RATIO"))</f>
        <v/>
      </c>
      <c r="J26" s="5">
        <f>IF($A26="","",BDP($A26&amp;" US Equity","BEST_PEG_RATIO"))</f>
        <v/>
      </c>
      <c r="K26" s="5">
        <f>IF($A26="","",BDP($A26&amp;" US Equity","GROSS_MARGIN"))</f>
        <v/>
      </c>
      <c r="L26" s="5">
        <f>IF($A26="","",BDP($A26&amp;" US Equity","OPER_MARGIN"))</f>
        <v/>
      </c>
      <c r="M26" s="5">
        <f>IF($A26="","",BDP($A26&amp;" US Equity","PROF_MARGIN"))</f>
        <v/>
      </c>
      <c r="N26" s="5">
        <f>IF($A26="","",BDP($A26&amp;" US Equity","RETURN_COM_EQY"))</f>
        <v/>
      </c>
      <c r="O26" s="5">
        <f>IF($A26="","",BDP($A26&amp;" US Equity","EQY_DVD_YLD_IND"))</f>
        <v/>
      </c>
      <c r="P26" s="5">
        <f>IF($A26="","",BDP($A26&amp;" US Equity","BETA_RAW_OVERRIDABLE"))</f>
        <v/>
      </c>
      <c r="Q26" s="5">
        <f>IF($A26="","",BDP($A26&amp;" US Equity","BEST_TARGET_PRICE"))</f>
        <v/>
      </c>
    </row>
    <row r="27">
      <c r="A27" s="5">
        <f>IF(A9="","",A9)</f>
        <v/>
      </c>
      <c r="B27" s="5">
        <f>IF($A27="","",BDP($A27&amp;" US Equity","NAME"))</f>
        <v/>
      </c>
      <c r="C27" s="5">
        <f>IF($A27="","",BDP($A27&amp;" US Equity","PX_LAST"))</f>
        <v/>
      </c>
      <c r="D27" s="5">
        <f>IF($A27="","",BDP($A27&amp;" US Equity","CUR_MKT_CAP"))</f>
        <v/>
      </c>
      <c r="E27" s="5">
        <f>IF($A27="","",BDP($A27&amp;" US Equity","PE_RATIO"))</f>
        <v/>
      </c>
      <c r="F27" s="5">
        <f>IF($A27="","",BDP($A27&amp;" US Equity","BEST_PE_RATIO"))</f>
        <v/>
      </c>
      <c r="G27" s="5">
        <f>IF($A27="","",BDP($A27&amp;" US Equity","BEST_CUR_EV_TO_EBITDA"))</f>
        <v/>
      </c>
      <c r="H27" s="5">
        <f>IF($A27="","",BDP($A27&amp;" US Equity","PX_TO_SALES_RATIO"))</f>
        <v/>
      </c>
      <c r="I27" s="5">
        <f>IF($A27="","",BDP($A27&amp;" US Equity","PX_TO_BOOK_RATIO"))</f>
        <v/>
      </c>
      <c r="J27" s="5">
        <f>IF($A27="","",BDP($A27&amp;" US Equity","BEST_PEG_RATIO"))</f>
        <v/>
      </c>
      <c r="K27" s="5">
        <f>IF($A27="","",BDP($A27&amp;" US Equity","GROSS_MARGIN"))</f>
        <v/>
      </c>
      <c r="L27" s="5">
        <f>IF($A27="","",BDP($A27&amp;" US Equity","OPER_MARGIN"))</f>
        <v/>
      </c>
      <c r="M27" s="5">
        <f>IF($A27="","",BDP($A27&amp;" US Equity","PROF_MARGIN"))</f>
        <v/>
      </c>
      <c r="N27" s="5">
        <f>IF($A27="","",BDP($A27&amp;" US Equity","RETURN_COM_EQY"))</f>
        <v/>
      </c>
      <c r="O27" s="5">
        <f>IF($A27="","",BDP($A27&amp;" US Equity","EQY_DVD_YLD_IND"))</f>
        <v/>
      </c>
      <c r="P27" s="5">
        <f>IF($A27="","",BDP($A27&amp;" US Equity","BETA_RAW_OVERRIDABLE"))</f>
        <v/>
      </c>
      <c r="Q27" s="5">
        <f>IF($A27="","",BDP($A27&amp;" US Equity","BEST_TARGET_PRICE"))</f>
        <v/>
      </c>
    </row>
    <row r="28">
      <c r="A28" s="5">
        <f>IF(A10="","",A10)</f>
        <v/>
      </c>
      <c r="B28" s="5">
        <f>IF($A28="","",BDP($A28&amp;" US Equity","NAME"))</f>
        <v/>
      </c>
      <c r="C28" s="5">
        <f>IF($A28="","",BDP($A28&amp;" US Equity","PX_LAST"))</f>
        <v/>
      </c>
      <c r="D28" s="5">
        <f>IF($A28="","",BDP($A28&amp;" US Equity","CUR_MKT_CAP"))</f>
        <v/>
      </c>
      <c r="E28" s="5">
        <f>IF($A28="","",BDP($A28&amp;" US Equity","PE_RATIO"))</f>
        <v/>
      </c>
      <c r="F28" s="5">
        <f>IF($A28="","",BDP($A28&amp;" US Equity","BEST_PE_RATIO"))</f>
        <v/>
      </c>
      <c r="G28" s="5">
        <f>IF($A28="","",BDP($A28&amp;" US Equity","BEST_CUR_EV_TO_EBITDA"))</f>
        <v/>
      </c>
      <c r="H28" s="5">
        <f>IF($A28="","",BDP($A28&amp;" US Equity","PX_TO_SALES_RATIO"))</f>
        <v/>
      </c>
      <c r="I28" s="5">
        <f>IF($A28="","",BDP($A28&amp;" US Equity","PX_TO_BOOK_RATIO"))</f>
        <v/>
      </c>
      <c r="J28" s="5">
        <f>IF($A28="","",BDP($A28&amp;" US Equity","BEST_PEG_RATIO"))</f>
        <v/>
      </c>
      <c r="K28" s="5">
        <f>IF($A28="","",BDP($A28&amp;" US Equity","GROSS_MARGIN"))</f>
        <v/>
      </c>
      <c r="L28" s="5">
        <f>IF($A28="","",BDP($A28&amp;" US Equity","OPER_MARGIN"))</f>
        <v/>
      </c>
      <c r="M28" s="5">
        <f>IF($A28="","",BDP($A28&amp;" US Equity","PROF_MARGIN"))</f>
        <v/>
      </c>
      <c r="N28" s="5">
        <f>IF($A28="","",BDP($A28&amp;" US Equity","RETURN_COM_EQY"))</f>
        <v/>
      </c>
      <c r="O28" s="5">
        <f>IF($A28="","",BDP($A28&amp;" US Equity","EQY_DVD_YLD_IND"))</f>
        <v/>
      </c>
      <c r="P28" s="5">
        <f>IF($A28="","",BDP($A28&amp;" US Equity","BETA_RAW_OVERRIDABLE"))</f>
        <v/>
      </c>
      <c r="Q28" s="5">
        <f>IF($A28="","",BDP($A28&amp;" US Equity","BEST_TARGET_PRICE"))</f>
        <v/>
      </c>
    </row>
    <row r="29">
      <c r="A29" s="5">
        <f>IF(A11="","",A11)</f>
        <v/>
      </c>
      <c r="B29" s="5">
        <f>IF($A29="","",BDP($A29&amp;" US Equity","NAME"))</f>
        <v/>
      </c>
      <c r="C29" s="5">
        <f>IF($A29="","",BDP($A29&amp;" US Equity","PX_LAST"))</f>
        <v/>
      </c>
      <c r="D29" s="5">
        <f>IF($A29="","",BDP($A29&amp;" US Equity","CUR_MKT_CAP"))</f>
        <v/>
      </c>
      <c r="E29" s="5">
        <f>IF($A29="","",BDP($A29&amp;" US Equity","PE_RATIO"))</f>
        <v/>
      </c>
      <c r="F29" s="5">
        <f>IF($A29="","",BDP($A29&amp;" US Equity","BEST_PE_RATIO"))</f>
        <v/>
      </c>
      <c r="G29" s="5">
        <f>IF($A29="","",BDP($A29&amp;" US Equity","BEST_CUR_EV_TO_EBITDA"))</f>
        <v/>
      </c>
      <c r="H29" s="5">
        <f>IF($A29="","",BDP($A29&amp;" US Equity","PX_TO_SALES_RATIO"))</f>
        <v/>
      </c>
      <c r="I29" s="5">
        <f>IF($A29="","",BDP($A29&amp;" US Equity","PX_TO_BOOK_RATIO"))</f>
        <v/>
      </c>
      <c r="J29" s="5">
        <f>IF($A29="","",BDP($A29&amp;" US Equity","BEST_PEG_RATIO"))</f>
        <v/>
      </c>
      <c r="K29" s="5">
        <f>IF($A29="","",BDP($A29&amp;" US Equity","GROSS_MARGIN"))</f>
        <v/>
      </c>
      <c r="L29" s="5">
        <f>IF($A29="","",BDP($A29&amp;" US Equity","OPER_MARGIN"))</f>
        <v/>
      </c>
      <c r="M29" s="5">
        <f>IF($A29="","",BDP($A29&amp;" US Equity","PROF_MARGIN"))</f>
        <v/>
      </c>
      <c r="N29" s="5">
        <f>IF($A29="","",BDP($A29&amp;" US Equity","RETURN_COM_EQY"))</f>
        <v/>
      </c>
      <c r="O29" s="5">
        <f>IF($A29="","",BDP($A29&amp;" US Equity","EQY_DVD_YLD_IND"))</f>
        <v/>
      </c>
      <c r="P29" s="5">
        <f>IF($A29="","",BDP($A29&amp;" US Equity","BETA_RAW_OVERRIDABLE"))</f>
        <v/>
      </c>
      <c r="Q29" s="5">
        <f>IF($A29="","",BDP($A29&amp;" US Equity","BEST_TARGET_PRICE"))</f>
        <v/>
      </c>
    </row>
    <row r="30">
      <c r="A30" s="5">
        <f>IF(A12="","",A12)</f>
        <v/>
      </c>
      <c r="B30" s="5">
        <f>IF($A30="","",BDP($A30&amp;" US Equity","NAME"))</f>
        <v/>
      </c>
      <c r="C30" s="5">
        <f>IF($A30="","",BDP($A30&amp;" US Equity","PX_LAST"))</f>
        <v/>
      </c>
      <c r="D30" s="5">
        <f>IF($A30="","",BDP($A30&amp;" US Equity","CUR_MKT_CAP"))</f>
        <v/>
      </c>
      <c r="E30" s="5">
        <f>IF($A30="","",BDP($A30&amp;" US Equity","PE_RATIO"))</f>
        <v/>
      </c>
      <c r="F30" s="5">
        <f>IF($A30="","",BDP($A30&amp;" US Equity","BEST_PE_RATIO"))</f>
        <v/>
      </c>
      <c r="G30" s="5">
        <f>IF($A30="","",BDP($A30&amp;" US Equity","BEST_CUR_EV_TO_EBITDA"))</f>
        <v/>
      </c>
      <c r="H30" s="5">
        <f>IF($A30="","",BDP($A30&amp;" US Equity","PX_TO_SALES_RATIO"))</f>
        <v/>
      </c>
      <c r="I30" s="5">
        <f>IF($A30="","",BDP($A30&amp;" US Equity","PX_TO_BOOK_RATIO"))</f>
        <v/>
      </c>
      <c r="J30" s="5">
        <f>IF($A30="","",BDP($A30&amp;" US Equity","BEST_PEG_RATIO"))</f>
        <v/>
      </c>
      <c r="K30" s="5">
        <f>IF($A30="","",BDP($A30&amp;" US Equity","GROSS_MARGIN"))</f>
        <v/>
      </c>
      <c r="L30" s="5">
        <f>IF($A30="","",BDP($A30&amp;" US Equity","OPER_MARGIN"))</f>
        <v/>
      </c>
      <c r="M30" s="5">
        <f>IF($A30="","",BDP($A30&amp;" US Equity","PROF_MARGIN"))</f>
        <v/>
      </c>
      <c r="N30" s="5">
        <f>IF($A30="","",BDP($A30&amp;" US Equity","RETURN_COM_EQY"))</f>
        <v/>
      </c>
      <c r="O30" s="5">
        <f>IF($A30="","",BDP($A30&amp;" US Equity","EQY_DVD_YLD_IND"))</f>
        <v/>
      </c>
      <c r="P30" s="5">
        <f>IF($A30="","",BDP($A30&amp;" US Equity","BETA_RAW_OVERRIDABLE"))</f>
        <v/>
      </c>
      <c r="Q30" s="5">
        <f>IF($A30="","",BDP($A30&amp;" US Equity","BEST_TARGET_PRICE"))</f>
        <v/>
      </c>
    </row>
    <row r="31">
      <c r="A31" s="5">
        <f>IF(A13="","",A13)</f>
        <v/>
      </c>
      <c r="B31" s="5">
        <f>IF($A31="","",BDP($A31&amp;" US Equity","NAME"))</f>
        <v/>
      </c>
      <c r="C31" s="5">
        <f>IF($A31="","",BDP($A31&amp;" US Equity","PX_LAST"))</f>
        <v/>
      </c>
      <c r="D31" s="5">
        <f>IF($A31="","",BDP($A31&amp;" US Equity","CUR_MKT_CAP"))</f>
        <v/>
      </c>
      <c r="E31" s="5">
        <f>IF($A31="","",BDP($A31&amp;" US Equity","PE_RATIO"))</f>
        <v/>
      </c>
      <c r="F31" s="5">
        <f>IF($A31="","",BDP($A31&amp;" US Equity","BEST_PE_RATIO"))</f>
        <v/>
      </c>
      <c r="G31" s="5">
        <f>IF($A31="","",BDP($A31&amp;" US Equity","BEST_CUR_EV_TO_EBITDA"))</f>
        <v/>
      </c>
      <c r="H31" s="5">
        <f>IF($A31="","",BDP($A31&amp;" US Equity","PX_TO_SALES_RATIO"))</f>
        <v/>
      </c>
      <c r="I31" s="5">
        <f>IF($A31="","",BDP($A31&amp;" US Equity","PX_TO_BOOK_RATIO"))</f>
        <v/>
      </c>
      <c r="J31" s="5">
        <f>IF($A31="","",BDP($A31&amp;" US Equity","BEST_PEG_RATIO"))</f>
        <v/>
      </c>
      <c r="K31" s="5">
        <f>IF($A31="","",BDP($A31&amp;" US Equity","GROSS_MARGIN"))</f>
        <v/>
      </c>
      <c r="L31" s="5">
        <f>IF($A31="","",BDP($A31&amp;" US Equity","OPER_MARGIN"))</f>
        <v/>
      </c>
      <c r="M31" s="5">
        <f>IF($A31="","",BDP($A31&amp;" US Equity","PROF_MARGIN"))</f>
        <v/>
      </c>
      <c r="N31" s="5">
        <f>IF($A31="","",BDP($A31&amp;" US Equity","RETURN_COM_EQY"))</f>
        <v/>
      </c>
      <c r="O31" s="5">
        <f>IF($A31="","",BDP($A31&amp;" US Equity","EQY_DVD_YLD_IND"))</f>
        <v/>
      </c>
      <c r="P31" s="5">
        <f>IF($A31="","",BDP($A31&amp;" US Equity","BETA_RAW_OVERRIDABLE"))</f>
        <v/>
      </c>
      <c r="Q31" s="5">
        <f>IF($A31="","",BDP($A31&amp;" US Equity","BEST_TARGET_PRICE"))</f>
        <v/>
      </c>
    </row>
    <row r="32">
      <c r="A32" s="5">
        <f>IF(A14="","",A14)</f>
        <v/>
      </c>
      <c r="B32" s="5">
        <f>IF($A32="","",BDP($A32&amp;" US Equity","NAME"))</f>
        <v/>
      </c>
      <c r="C32" s="5">
        <f>IF($A32="","",BDP($A32&amp;" US Equity","PX_LAST"))</f>
        <v/>
      </c>
      <c r="D32" s="5">
        <f>IF($A32="","",BDP($A32&amp;" US Equity","CUR_MKT_CAP"))</f>
        <v/>
      </c>
      <c r="E32" s="5">
        <f>IF($A32="","",BDP($A32&amp;" US Equity","PE_RATIO"))</f>
        <v/>
      </c>
      <c r="F32" s="5">
        <f>IF($A32="","",BDP($A32&amp;" US Equity","BEST_PE_RATIO"))</f>
        <v/>
      </c>
      <c r="G32" s="5">
        <f>IF($A32="","",BDP($A32&amp;" US Equity","BEST_CUR_EV_TO_EBITDA"))</f>
        <v/>
      </c>
      <c r="H32" s="5">
        <f>IF($A32="","",BDP($A32&amp;" US Equity","PX_TO_SALES_RATIO"))</f>
        <v/>
      </c>
      <c r="I32" s="5">
        <f>IF($A32="","",BDP($A32&amp;" US Equity","PX_TO_BOOK_RATIO"))</f>
        <v/>
      </c>
      <c r="J32" s="5">
        <f>IF($A32="","",BDP($A32&amp;" US Equity","BEST_PEG_RATIO"))</f>
        <v/>
      </c>
      <c r="K32" s="5">
        <f>IF($A32="","",BDP($A32&amp;" US Equity","GROSS_MARGIN"))</f>
        <v/>
      </c>
      <c r="L32" s="5">
        <f>IF($A32="","",BDP($A32&amp;" US Equity","OPER_MARGIN"))</f>
        <v/>
      </c>
      <c r="M32" s="5">
        <f>IF($A32="","",BDP($A32&amp;" US Equity","PROF_MARGIN"))</f>
        <v/>
      </c>
      <c r="N32" s="5">
        <f>IF($A32="","",BDP($A32&amp;" US Equity","RETURN_COM_EQY"))</f>
        <v/>
      </c>
      <c r="O32" s="5">
        <f>IF($A32="","",BDP($A32&amp;" US Equity","EQY_DVD_YLD_IND"))</f>
        <v/>
      </c>
      <c r="P32" s="5">
        <f>IF($A32="","",BDP($A32&amp;" US Equity","BETA_RAW_OVERRIDABLE"))</f>
        <v/>
      </c>
      <c r="Q32" s="5">
        <f>IF($A32="","",BDP($A32&amp;" US Equity","BEST_TARGET_PRICE"))</f>
        <v/>
      </c>
    </row>
    <row r="34">
      <c r="A34" s="13" t="inlineStr">
        <is>
          <t>PEER MEDIAN</t>
        </is>
      </c>
      <c r="B34" s="13">
        <f>MEDIAN(B23:B32)</f>
        <v/>
      </c>
      <c r="C34" s="13">
        <f>MEDIAN(C23:C32)</f>
        <v/>
      </c>
      <c r="D34" s="13">
        <f>MEDIAN(D23:D32)</f>
        <v/>
      </c>
      <c r="E34" s="13">
        <f>MEDIAN(E23:E32)</f>
        <v/>
      </c>
      <c r="F34" s="13">
        <f>MEDIAN(F23:F32)</f>
        <v/>
      </c>
      <c r="G34" s="13">
        <f>MEDIAN(G23:G32)</f>
        <v/>
      </c>
      <c r="H34" s="13">
        <f>MEDIAN(H23:H32)</f>
        <v/>
      </c>
      <c r="I34" s="13">
        <f>MEDIAN(I23:I32)</f>
        <v/>
      </c>
      <c r="J34" s="13">
        <f>MEDIAN(J23:J32)</f>
        <v/>
      </c>
      <c r="K34" s="13">
        <f>MEDIAN(K23:K32)</f>
        <v/>
      </c>
      <c r="L34" s="13">
        <f>MEDIAN(L23:L32)</f>
        <v/>
      </c>
      <c r="M34" s="13">
        <f>MEDIAN(M23:M32)</f>
        <v/>
      </c>
      <c r="N34" s="13">
        <f>MEDIAN(N23:N32)</f>
        <v/>
      </c>
      <c r="O34" s="13">
        <f>MEDIAN(O23:O32)</f>
        <v/>
      </c>
      <c r="P34" s="13">
        <f>MEDIAN(P23:P32)</f>
        <v/>
      </c>
      <c r="Q34" s="13">
        <f>MEDIAN(Q23:Q32)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1" t="inlineStr">
        <is>
          <t>DIVIDEND HISTORY</t>
        </is>
      </c>
    </row>
    <row r="2">
      <c r="A2" s="4" t="inlineStr">
        <is>
          <t>Security:</t>
        </is>
      </c>
      <c r="B2">
        <f>Profile!B2</f>
        <v/>
      </c>
    </row>
    <row r="4">
      <c r="A4" s="7" t="inlineStr">
        <is>
          <t>Year</t>
        </is>
      </c>
      <c r="B4" s="7" t="inlineStr">
        <is>
          <t>Annual DPS</t>
        </is>
      </c>
      <c r="C4" s="7" t="inlineStr">
        <is>
          <t>YoY Growth</t>
        </is>
      </c>
    </row>
    <row r="5">
      <c r="A5" s="5">
        <f>YEAR(TODAY())+-9</f>
        <v/>
      </c>
      <c r="B5" s="17">
        <f>BDP($B$2,"DVD_SH_LAST","FUND_PER","FY","EQY_FUND_RELATIVE_PERIOD","-9")</f>
        <v/>
      </c>
    </row>
    <row r="6">
      <c r="A6" s="5">
        <f>YEAR(TODAY())+-8</f>
        <v/>
      </c>
      <c r="B6" s="17">
        <f>BDP($B$2,"DVD_SH_LAST","FUND_PER","FY","EQY_FUND_RELATIVE_PERIOD","-8")</f>
        <v/>
      </c>
      <c r="C6" s="18">
        <f>IF(B5=0,"",B6/B5-1)</f>
        <v/>
      </c>
    </row>
    <row r="7">
      <c r="A7" s="5">
        <f>YEAR(TODAY())+-7</f>
        <v/>
      </c>
      <c r="B7" s="17">
        <f>BDP($B$2,"DVD_SH_LAST","FUND_PER","FY","EQY_FUND_RELATIVE_PERIOD","-7")</f>
        <v/>
      </c>
      <c r="C7" s="18">
        <f>IF(B6=0,"",B7/B6-1)</f>
        <v/>
      </c>
    </row>
    <row r="8">
      <c r="A8" s="5">
        <f>YEAR(TODAY())+-6</f>
        <v/>
      </c>
      <c r="B8" s="17">
        <f>BDP($B$2,"DVD_SH_LAST","FUND_PER","FY","EQY_FUND_RELATIVE_PERIOD","-6")</f>
        <v/>
      </c>
      <c r="C8" s="18">
        <f>IF(B7=0,"",B8/B7-1)</f>
        <v/>
      </c>
    </row>
    <row r="9">
      <c r="A9" s="5">
        <f>YEAR(TODAY())+-5</f>
        <v/>
      </c>
      <c r="B9" s="17">
        <f>BDP($B$2,"DVD_SH_LAST","FUND_PER","FY","EQY_FUND_RELATIVE_PERIOD","-5")</f>
        <v/>
      </c>
      <c r="C9" s="18">
        <f>IF(B8=0,"",B9/B8-1)</f>
        <v/>
      </c>
    </row>
    <row r="10">
      <c r="A10" s="5">
        <f>YEAR(TODAY())+-4</f>
        <v/>
      </c>
      <c r="B10" s="17">
        <f>BDP($B$2,"DVD_SH_LAST","FUND_PER","FY","EQY_FUND_RELATIVE_PERIOD","-4")</f>
        <v/>
      </c>
      <c r="C10" s="18">
        <f>IF(B9=0,"",B10/B9-1)</f>
        <v/>
      </c>
    </row>
    <row r="11">
      <c r="A11" s="5">
        <f>YEAR(TODAY())+-3</f>
        <v/>
      </c>
      <c r="B11" s="17">
        <f>BDP($B$2,"DVD_SH_LAST","FUND_PER","FY","EQY_FUND_RELATIVE_PERIOD","-3")</f>
        <v/>
      </c>
      <c r="C11" s="18">
        <f>IF(B10=0,"",B11/B10-1)</f>
        <v/>
      </c>
    </row>
    <row r="12">
      <c r="A12" s="5">
        <f>YEAR(TODAY())+-2</f>
        <v/>
      </c>
      <c r="B12" s="17">
        <f>BDP($B$2,"DVD_SH_LAST","FUND_PER","FY","EQY_FUND_RELATIVE_PERIOD","-2")</f>
        <v/>
      </c>
      <c r="C12" s="18">
        <f>IF(B11=0,"",B12/B11-1)</f>
        <v/>
      </c>
    </row>
    <row r="13">
      <c r="A13" s="5">
        <f>YEAR(TODAY())+-1</f>
        <v/>
      </c>
      <c r="B13" s="17">
        <f>BDP($B$2,"DVD_SH_LAST","FUND_PER","FY","EQY_FUND_RELATIVE_PERIOD","-1")</f>
        <v/>
      </c>
      <c r="C13" s="18">
        <f>IF(B12=0,"",B13/B12-1)</f>
        <v/>
      </c>
    </row>
    <row r="14">
      <c r="A14" s="5">
        <f>YEAR(TODAY())+0</f>
        <v/>
      </c>
      <c r="B14" s="17">
        <f>BDP($B$2,"DVD_SH_LAST","FUND_PER","FY","EQY_FUND_RELATIVE_PERIOD","0")</f>
        <v/>
      </c>
      <c r="C14" s="18">
        <f>IF(B13=0,"",B14/B13-1)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BLOOMBERG DATA EXPORT — INSTRUCTIONS</t>
        </is>
      </c>
    </row>
    <row r="2">
      <c r="A2" s="19" t="inlineStr"/>
    </row>
    <row r="3">
      <c r="A3" s="4" t="inlineStr">
        <is>
          <t>1. Go to the Profile sheet and type your ticker in cell B1 (e.g. KO, AAPL, MSFT)</t>
        </is>
      </c>
    </row>
    <row r="4">
      <c r="A4" s="4" t="inlineStr">
        <is>
          <t>2. Wait 5-10 seconds for all Bloomberg formulas to refresh</t>
        </is>
      </c>
    </row>
    <row r="5">
      <c r="A5" s="4" t="inlineStr">
        <is>
          <t>3. Check that data populated on Profile, Financials, Peers, and Dividends sheets</t>
        </is>
      </c>
    </row>
    <row r="6">
      <c r="A6" s="4" t="inlineStr">
        <is>
          <t>4. Save this workbook as: bloomberg_[TICKER].xlsx  (e.g. bloomberg_KO.xlsx)</t>
        </is>
      </c>
    </row>
    <row r="7">
      <c r="A7" s="4" t="inlineStr">
        <is>
          <t>5. Also save as CSV for easy parsing:</t>
        </is>
      </c>
    </row>
    <row r="8">
      <c r="A8" s="19" t="inlineStr">
        <is>
          <t xml:space="preserve">   - Profile sheet → Save As → CSV → bloomberg_[TICKER]_profile.csv</t>
        </is>
      </c>
    </row>
    <row r="9">
      <c r="A9" s="19" t="inlineStr">
        <is>
          <t xml:space="preserve">   - Financials sheet → Save As → CSV → bloomberg_[TICKER]_financials.csv</t>
        </is>
      </c>
    </row>
    <row r="10">
      <c r="A10" s="19" t="inlineStr">
        <is>
          <t xml:space="preserve">   - Peers sheet → Save As → CSV → bloomberg_[TICKER]_peers.csv</t>
        </is>
      </c>
    </row>
    <row r="11">
      <c r="A11" s="19" t="inlineStr">
        <is>
          <t xml:space="preserve">   - Dividends sheet → Save As → CSV → bloomberg_[TICKER]_dividends.csv</t>
        </is>
      </c>
    </row>
    <row r="12">
      <c r="A12" s="19" t="inlineStr"/>
    </row>
    <row r="13">
      <c r="A13" s="4" t="inlineStr">
        <is>
          <t>OR: Use the Python export script (if Python is available):</t>
        </is>
      </c>
    </row>
    <row r="14">
      <c r="A14" s="19" t="inlineStr">
        <is>
          <t xml:space="preserve">   python export_bloomberg.py bloomberg_KO.xlsx</t>
        </is>
      </c>
    </row>
    <row r="15">
      <c r="A15" s="19" t="inlineStr"/>
    </row>
    <row r="16">
      <c r="A16" s="19" t="inlineStr">
        <is>
          <t>Place all exported files in the data/ folder of your project.</t>
        </is>
      </c>
    </row>
    <row r="17">
      <c r="A17" s="19" t="inlineStr">
        <is>
          <t>The app will automatically detect and use Bloomberg data when available.</t>
        </is>
      </c>
    </row>
    <row r="18">
      <c r="A18" s="19" t="inlineStr"/>
    </row>
    <row r="19">
      <c r="A19" s="19" t="inlineStr">
        <is>
          <t>NOTES:</t>
        </is>
      </c>
    </row>
    <row r="20">
      <c r="A20" s="19" t="inlineStr">
        <is>
          <t>- Some fields may show #N/A if not available for the selected security</t>
        </is>
      </c>
    </row>
    <row r="21">
      <c r="A21" s="19" t="inlineStr">
        <is>
          <t>- BDS (peer list) may take longer to populate — wait for it before saving</t>
        </is>
      </c>
    </row>
    <row r="22">
      <c r="A22" s="19" t="inlineStr">
        <is>
          <t>- Peer comparison formulas depend on the BDS peer list populating first</t>
        </is>
      </c>
    </row>
    <row r="23">
      <c r="A23" s="19" t="inlineStr">
        <is>
          <t>- Re-export when you want fresh data — the app shows the export 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2026-03-03T20:27:58Z</dcterms:created>
  <dcterms:modified xmlns:dcterms="http://purl.org/dc/terms/" xmlns:xsi="http://www.w3.org/2001/XMLSchema-instance" xsi:type="dcterms:W3CDTF">2026-03-03T21:09:04Z</dcterms:modified>
</cp:coreProperties>
</file>