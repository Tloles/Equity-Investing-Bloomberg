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lizabethreynolds/Downloads/"/>
    </mc:Choice>
  </mc:AlternateContent>
  <xr:revisionPtr revIDLastSave="0" documentId="8_{2F82DB68-5A77-C143-951F-8F4ECCAD30E3}" xr6:coauthVersionLast="47" xr6:coauthVersionMax="47" xr10:uidLastSave="{00000000-0000-0000-0000-000000000000}"/>
  <bookViews>
    <workbookView xWindow="2360" yWindow="1900" windowWidth="25640" windowHeight="13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E55" i="1"/>
  <c r="D72" i="1"/>
  <c r="D1" i="1"/>
  <c r="D7" i="1"/>
  <c r="D27" i="1"/>
  <c r="D31" i="1"/>
  <c r="D8" i="1"/>
  <c r="D19" i="1"/>
  <c r="D12" i="1"/>
  <c r="D13" i="1"/>
  <c r="D20" i="1"/>
  <c r="D26" i="1"/>
  <c r="D39" i="1"/>
  <c r="D37" i="1"/>
  <c r="D10" i="1"/>
  <c r="D6" i="1"/>
  <c r="D25" i="1"/>
  <c r="D36" i="1"/>
  <c r="D30" i="1"/>
  <c r="D38" i="1"/>
  <c r="D28" i="1"/>
  <c r="H13" i="1"/>
  <c r="H25" i="1"/>
  <c r="H20" i="1"/>
  <c r="H26" i="1"/>
  <c r="H19" i="1"/>
  <c r="H12" i="1"/>
  <c r="H39" i="1"/>
  <c r="H31" i="1"/>
  <c r="H38" i="1"/>
  <c r="H10" i="1"/>
  <c r="H6" i="1"/>
  <c r="H28" i="1"/>
  <c r="H37" i="1"/>
  <c r="H27" i="1"/>
  <c r="H30" i="1"/>
  <c r="H8" i="1"/>
  <c r="H7" i="1"/>
  <c r="H36" i="1"/>
  <c r="F26" i="1"/>
  <c r="F37" i="1"/>
  <c r="F27" i="1"/>
  <c r="F8" i="1"/>
  <c r="F38" i="1"/>
  <c r="F25" i="1"/>
  <c r="F13" i="1"/>
  <c r="F30" i="1"/>
  <c r="F10" i="1"/>
  <c r="F20" i="1"/>
  <c r="F7" i="1"/>
  <c r="F36" i="1"/>
  <c r="F28" i="1"/>
  <c r="F31" i="1"/>
  <c r="F6" i="1"/>
  <c r="F12" i="1"/>
  <c r="F39" i="1"/>
  <c r="F19" i="1"/>
  <c r="G12" i="1"/>
  <c r="G8" i="1"/>
  <c r="G26" i="1"/>
  <c r="G36" i="1"/>
  <c r="G7" i="1"/>
  <c r="G38" i="1"/>
  <c r="G28" i="1"/>
  <c r="G13" i="1"/>
  <c r="G30" i="1"/>
  <c r="G10" i="1"/>
  <c r="G25" i="1"/>
  <c r="G39" i="1"/>
  <c r="G20" i="1"/>
  <c r="G27" i="1"/>
  <c r="G31" i="1"/>
  <c r="G37" i="1"/>
  <c r="G19" i="1"/>
  <c r="G6" i="1"/>
  <c r="E31" i="1"/>
  <c r="E37" i="1"/>
  <c r="E13" i="1"/>
  <c r="E28" i="1"/>
  <c r="E26" i="1"/>
  <c r="E6" i="1"/>
  <c r="E20" i="1"/>
  <c r="E27" i="1"/>
  <c r="E38" i="1"/>
  <c r="E19" i="1"/>
  <c r="E30" i="1"/>
  <c r="E39" i="1"/>
  <c r="E25" i="1"/>
  <c r="E36" i="1"/>
  <c r="E7" i="1"/>
  <c r="E12" i="1"/>
  <c r="E8" i="1"/>
  <c r="E10" i="1"/>
  <c r="I36" i="1"/>
  <c r="I26" i="1"/>
  <c r="I28" i="1"/>
  <c r="I10" i="1"/>
  <c r="I37" i="1"/>
  <c r="I6" i="1"/>
  <c r="I39" i="1"/>
  <c r="I25" i="1"/>
  <c r="I31" i="1"/>
  <c r="I19" i="1"/>
  <c r="I13" i="1"/>
  <c r="I38" i="1"/>
  <c r="I8" i="1"/>
  <c r="I27" i="1"/>
  <c r="I20" i="1"/>
  <c r="I7" i="1"/>
  <c r="I30" i="1"/>
  <c r="I12" i="1"/>
  <c r="E56" i="1"/>
  <c r="M42" i="1" l="1"/>
  <c r="N42" i="1" s="1"/>
  <c r="K32" i="1"/>
  <c r="L32" i="1" s="1"/>
  <c r="M32" i="1" s="1"/>
  <c r="N32" i="1" s="1"/>
  <c r="K29" i="1"/>
  <c r="L29" i="1" s="1"/>
  <c r="M29" i="1" s="1"/>
  <c r="N29" i="1" s="1"/>
  <c r="M9" i="1"/>
  <c r="N9" i="1" s="1"/>
  <c r="K9" i="1"/>
  <c r="B1" i="1"/>
  <c r="J38" i="1" l="1"/>
  <c r="K38" i="1" s="1"/>
  <c r="H46" i="1"/>
  <c r="D29" i="1"/>
  <c r="J30" i="1"/>
  <c r="K30" i="1" s="1"/>
  <c r="L30" i="1" s="1"/>
  <c r="M30" i="1" s="1"/>
  <c r="N30" i="1" s="1"/>
  <c r="E29" i="1"/>
  <c r="F29" i="1"/>
  <c r="F46" i="1"/>
  <c r="J31" i="1"/>
  <c r="K31" i="1" s="1"/>
  <c r="L31" i="1" s="1"/>
  <c r="M31" i="1" s="1"/>
  <c r="N31" i="1" s="1"/>
  <c r="G29" i="1"/>
  <c r="H29" i="1"/>
  <c r="E72" i="1"/>
  <c r="E46" i="1"/>
  <c r="I29" i="1"/>
  <c r="G46" i="1"/>
  <c r="I46" i="1"/>
  <c r="D35" i="1"/>
  <c r="D40" i="1" s="1"/>
  <c r="O13" i="1"/>
  <c r="O6" i="1"/>
  <c r="G11" i="1"/>
  <c r="G44" i="1" s="1"/>
  <c r="I24" i="1"/>
  <c r="I23" i="1" s="1"/>
  <c r="H32" i="1"/>
  <c r="F32" i="1"/>
  <c r="E14" i="1"/>
  <c r="F35" i="1"/>
  <c r="F40" i="1" s="1"/>
  <c r="E57" i="1"/>
  <c r="I48" i="1"/>
  <c r="D24" i="1"/>
  <c r="O20" i="1"/>
  <c r="G24" i="1"/>
  <c r="F49" i="1"/>
  <c r="D2" i="1"/>
  <c r="E35" i="1"/>
  <c r="E40" i="1" s="1"/>
  <c r="F42" i="1"/>
  <c r="F11" i="1"/>
  <c r="F44" i="1" s="1"/>
  <c r="H14" i="1"/>
  <c r="H9" i="1"/>
  <c r="I9" i="1"/>
  <c r="E48" i="1"/>
  <c r="G49" i="1"/>
  <c r="E45" i="1"/>
  <c r="H35" i="1"/>
  <c r="H40" i="1" s="1"/>
  <c r="D11" i="1"/>
  <c r="D44" i="1" s="1"/>
  <c r="J44" i="1" s="1"/>
  <c r="K44" i="1" s="1"/>
  <c r="L44" i="1" s="1"/>
  <c r="M44" i="1" s="1"/>
  <c r="N44" i="1" s="1"/>
  <c r="F45" i="1"/>
  <c r="I35" i="1"/>
  <c r="I40" i="1" s="1"/>
  <c r="E9" i="1"/>
  <c r="I42" i="1"/>
  <c r="I43" i="1"/>
  <c r="J43" i="1" s="1"/>
  <c r="E11" i="1"/>
  <c r="E44" i="1" s="1"/>
  <c r="I11" i="1"/>
  <c r="I44" i="1" s="1"/>
  <c r="D14" i="1"/>
  <c r="O19" i="1"/>
  <c r="D46" i="1"/>
  <c r="E24" i="1"/>
  <c r="D32" i="1"/>
  <c r="H42" i="1"/>
  <c r="D48" i="1"/>
  <c r="F24" i="1"/>
  <c r="E32" i="1"/>
  <c r="H49" i="1"/>
  <c r="G45" i="1"/>
  <c r="F21" i="1"/>
  <c r="G42" i="1"/>
  <c r="F9" i="1"/>
  <c r="H45" i="1"/>
  <c r="G21" i="1"/>
  <c r="G43" i="1"/>
  <c r="H21" i="1"/>
  <c r="I49" i="1"/>
  <c r="G32" i="1"/>
  <c r="G35" i="1"/>
  <c r="G40" i="1" s="1"/>
  <c r="H43" i="1"/>
  <c r="I45" i="1"/>
  <c r="F48" i="1"/>
  <c r="G9" i="1"/>
  <c r="I14" i="1"/>
  <c r="D21" i="1"/>
  <c r="E21" i="1"/>
  <c r="H24" i="1"/>
  <c r="J47" i="1"/>
  <c r="K47" i="1" s="1"/>
  <c r="L47" i="1" s="1"/>
  <c r="M47" i="1" s="1"/>
  <c r="N47" i="1" s="1"/>
  <c r="G48" i="1"/>
  <c r="D49" i="1"/>
  <c r="J49" i="1" s="1"/>
  <c r="H48" i="1"/>
  <c r="E49" i="1"/>
  <c r="I32" i="1"/>
  <c r="J39" i="1"/>
  <c r="E42" i="1"/>
  <c r="D43" i="1"/>
  <c r="D9" i="1"/>
  <c r="H11" i="1"/>
  <c r="H44" i="1" s="1"/>
  <c r="F14" i="1"/>
  <c r="I21" i="1"/>
  <c r="E43" i="1"/>
  <c r="G14" i="1"/>
  <c r="F43" i="1"/>
  <c r="J48" i="1" l="1"/>
  <c r="J45" i="1"/>
  <c r="J46" i="1"/>
  <c r="K46" i="1" s="1"/>
  <c r="L46" i="1" s="1"/>
  <c r="K43" i="1"/>
  <c r="L43" i="1" s="1"/>
  <c r="M43" i="1" s="1"/>
  <c r="N43" i="1" s="1"/>
  <c r="J8" i="1"/>
  <c r="I50" i="1"/>
  <c r="O24" i="1"/>
  <c r="J24" i="1" s="1"/>
  <c r="K24" i="1" s="1"/>
  <c r="K48" i="1"/>
  <c r="K39" i="1"/>
  <c r="L39" i="1" s="1"/>
  <c r="M39" i="1" s="1"/>
  <c r="N39" i="1" s="1"/>
  <c r="L38" i="1"/>
  <c r="J13" i="1"/>
  <c r="K13" i="1" s="1"/>
  <c r="I22" i="1"/>
  <c r="K49" i="1"/>
  <c r="K8" i="1" l="1"/>
  <c r="J53" i="1"/>
  <c r="J55" i="1" s="1"/>
  <c r="L48" i="1"/>
  <c r="M48" i="1" s="1"/>
  <c r="L13" i="1"/>
  <c r="K45" i="1"/>
  <c r="M38" i="1"/>
  <c r="L49" i="1"/>
  <c r="K53" i="1"/>
  <c r="K55" i="1" s="1"/>
  <c r="L24" i="1"/>
  <c r="K25" i="1"/>
  <c r="J25" i="1"/>
  <c r="M46" i="1"/>
  <c r="L8" i="1"/>
  <c r="L53" i="1" l="1"/>
  <c r="L55" i="1" s="1"/>
  <c r="M24" i="1"/>
  <c r="L25" i="1"/>
  <c r="M49" i="1"/>
  <c r="M8" i="1"/>
  <c r="N46" i="1"/>
  <c r="N38" i="1"/>
  <c r="N48" i="1"/>
  <c r="L45" i="1"/>
  <c r="M13" i="1"/>
  <c r="N49" i="1" l="1"/>
  <c r="N24" i="1"/>
  <c r="M25" i="1"/>
  <c r="M53" i="1"/>
  <c r="M55" i="1" s="1"/>
  <c r="M45" i="1"/>
  <c r="N13" i="1"/>
  <c r="N45" i="1" s="1"/>
  <c r="N8" i="1"/>
  <c r="N25" i="1" l="1"/>
  <c r="N53" i="1"/>
  <c r="E59" i="1" l="1"/>
  <c r="J1" i="1" s="1"/>
  <c r="J6" i="1"/>
  <c r="J7" i="1" s="1"/>
  <c r="J10" i="1" s="1"/>
  <c r="E61" i="1" l="1"/>
  <c r="J20" i="1"/>
  <c r="J19" i="1"/>
  <c r="J11" i="1"/>
  <c r="J12" i="1" s="1"/>
  <c r="K6" i="1"/>
  <c r="K19" i="1" l="1"/>
  <c r="L6" i="1"/>
  <c r="K7" i="1"/>
  <c r="K10" i="1" s="1"/>
  <c r="K20" i="1"/>
  <c r="J14" i="1"/>
  <c r="J16" i="1" s="1"/>
  <c r="O16" i="1" s="1"/>
  <c r="J21" i="1"/>
  <c r="J35" i="1" s="1"/>
  <c r="J40" i="1" l="1"/>
  <c r="K11" i="1"/>
  <c r="K12" i="1" s="1"/>
  <c r="L7" i="1"/>
  <c r="L10" i="1" s="1"/>
  <c r="M6" i="1"/>
  <c r="L20" i="1"/>
  <c r="L19" i="1"/>
  <c r="M7" i="1" l="1"/>
  <c r="M10" i="1" s="1"/>
  <c r="N6" i="1"/>
  <c r="M19" i="1"/>
  <c r="M20" i="1"/>
  <c r="L11" i="1"/>
  <c r="L12" i="1" s="1"/>
  <c r="K21" i="1"/>
  <c r="K35" i="1" s="1"/>
  <c r="K14" i="1"/>
  <c r="L14" i="1" l="1"/>
  <c r="L21" i="1"/>
  <c r="L35" i="1" s="1"/>
  <c r="K40" i="1"/>
  <c r="N20" i="1"/>
  <c r="N7" i="1"/>
  <c r="N10" i="1" s="1"/>
  <c r="N19" i="1"/>
  <c r="M11" i="1"/>
  <c r="M12" i="1" s="1"/>
  <c r="M14" i="1" l="1"/>
  <c r="M21" i="1"/>
  <c r="M35" i="1" s="1"/>
  <c r="L40" i="1"/>
  <c r="N11" i="1"/>
  <c r="N12" i="1" s="1"/>
  <c r="N21" i="1" l="1"/>
  <c r="N35" i="1" s="1"/>
  <c r="N40" i="1" s="1"/>
  <c r="N14" i="1"/>
  <c r="N54" i="1" s="1"/>
  <c r="N55" i="1" s="1"/>
  <c r="M40" i="1"/>
</calcChain>
</file>

<file path=xl/sharedStrings.xml><?xml version="1.0" encoding="utf-8"?>
<sst xmlns="http://schemas.openxmlformats.org/spreadsheetml/2006/main" count="84" uniqueCount="81">
  <si>
    <t xml:space="preserve">   market cap</t>
  </si>
  <si>
    <t>EQY_FUND_RELATIVE_PERIOD=-5fy</t>
  </si>
  <si>
    <t>EQY_FUND_RELATIVE_PERIOD=-4fy</t>
  </si>
  <si>
    <t>EQY_FUND_RELATIVE_PERIOD=-3fy</t>
  </si>
  <si>
    <t>EQY_FUND_RELATIVE_PERIOD=-2fy</t>
  </si>
  <si>
    <t>EQY_FUND_RELATIVE_PERIOD=-1fy</t>
  </si>
  <si>
    <t>EQY_FUND_RELATIVE_PERIOD=-fy</t>
  </si>
  <si>
    <t>CAGR</t>
  </si>
  <si>
    <t>2025E</t>
  </si>
  <si>
    <t>2026E</t>
  </si>
  <si>
    <t>Income Statement</t>
  </si>
  <si>
    <t>Revenue</t>
  </si>
  <si>
    <t>TRAIL_12M_NET_SALES</t>
  </si>
  <si>
    <t>Operating Income</t>
  </si>
  <si>
    <t>TRAIL_12M_OPER_INC</t>
  </si>
  <si>
    <t>Interest Expense (Income)</t>
  </si>
  <si>
    <t>TRAIL_12M_INT_EXP</t>
  </si>
  <si>
    <t>Other Income/Expense</t>
  </si>
  <si>
    <t>Pre-tax Income</t>
  </si>
  <si>
    <t>TRAIL_12M_PRETAX_INC</t>
  </si>
  <si>
    <t>Taxe Expense</t>
  </si>
  <si>
    <t xml:space="preserve">Net Income </t>
  </si>
  <si>
    <t>TRAIL_12M_NET_INC</t>
  </si>
  <si>
    <t>Diluted Shares Outstanding</t>
  </si>
  <si>
    <t>IS_SH_FOR_FULLY_DILUTED_EPS</t>
  </si>
  <si>
    <t>GAAP EPS</t>
  </si>
  <si>
    <t>Estimate</t>
  </si>
  <si>
    <t>P/E</t>
  </si>
  <si>
    <t>FCF</t>
  </si>
  <si>
    <t>Capital Expenditures</t>
  </si>
  <si>
    <t>TRAIL_12M_CAP_EXPEND</t>
  </si>
  <si>
    <t>Depreciation</t>
  </si>
  <si>
    <t>TRAIL_12M_AMORT_AND_DEPR</t>
  </si>
  <si>
    <t>FCF Yield</t>
  </si>
  <si>
    <t>Div per share</t>
  </si>
  <si>
    <t>Dividends Paid</t>
  </si>
  <si>
    <t>CF_DVD_PAID</t>
  </si>
  <si>
    <t>CF_INCR_ST_BORROW</t>
  </si>
  <si>
    <t>CF_INCR_LT_BORROW</t>
  </si>
  <si>
    <t>CF_REIMB_LT_BORROW</t>
  </si>
  <si>
    <t>Debt Repayment</t>
  </si>
  <si>
    <t>CF_INCR_CAP_STOCK</t>
  </si>
  <si>
    <t>t0014</t>
  </si>
  <si>
    <t>Share Repurchase</t>
  </si>
  <si>
    <t>Balance Sheet</t>
  </si>
  <si>
    <t>Cash</t>
  </si>
  <si>
    <t>BS_CASH_NEAR_CASH_ITEM</t>
  </si>
  <si>
    <t>BS_MKT_SEC_OTHER_ST_INVEST</t>
  </si>
  <si>
    <t>LTD</t>
  </si>
  <si>
    <t>BS_LT_BORROW</t>
  </si>
  <si>
    <t>STD</t>
  </si>
  <si>
    <t>BS_ST_BORROW</t>
  </si>
  <si>
    <t>Net Debt</t>
  </si>
  <si>
    <t>Revenue  y/y (% chg)</t>
  </si>
  <si>
    <t>Operating Margin</t>
  </si>
  <si>
    <t>Tax Rate</t>
  </si>
  <si>
    <t>Diluted Shares y/y (% chg.)</t>
  </si>
  <si>
    <t>Interest Expense as % of debt outstanding</t>
  </si>
  <si>
    <t>Estimated Share Price for Share Repurchase</t>
  </si>
  <si>
    <t>Capex % of Rev</t>
  </si>
  <si>
    <t>Dep % of Rev</t>
  </si>
  <si>
    <t>Div % + repo %</t>
  </si>
  <si>
    <t>VALUATION</t>
  </si>
  <si>
    <t>EPS * PE</t>
  </si>
  <si>
    <t>ERP</t>
  </si>
  <si>
    <t>RISK_PREMIUM</t>
  </si>
  <si>
    <t>RF</t>
  </si>
  <si>
    <t>USGG10Yr INDEX</t>
  </si>
  <si>
    <t>Re</t>
  </si>
  <si>
    <t>% upside</t>
  </si>
  <si>
    <t>Technical</t>
  </si>
  <si>
    <t>YTD Performance</t>
  </si>
  <si>
    <t>pr079</t>
  </si>
  <si>
    <t>% change from 200 dma</t>
  </si>
  <si>
    <t>ht003</t>
  </si>
  <si>
    <t>2027E</t>
  </si>
  <si>
    <t>2028E</t>
  </si>
  <si>
    <t>2029E</t>
  </si>
  <si>
    <t>Intrinsic Value</t>
  </si>
  <si>
    <t>*QCF Students: Copy and Paste Just the Blue Highlighted Area*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</si>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</sst>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_(* #,##0.0_);_(* \(#,##0.0\);_(* &quot;-&quot;??_);_(@_)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 Narrow"/>
      <family val="2"/>
    </font>
    <font>
      <sz val="8"/>
      <color theme="0" tint="-0.499984740745262"/>
      <name val="Arial Narrow"/>
      <family val="2"/>
    </font>
    <font>
      <b/>
      <sz val="8"/>
      <color theme="1"/>
      <name val="Arial Narrow"/>
      <family val="2"/>
    </font>
    <font>
      <b/>
      <sz val="8"/>
      <color theme="9" tint="-0.499984740745262"/>
      <name val="Arial Narrow"/>
      <family val="2"/>
    </font>
    <font>
      <u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70C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49">
    <xf numFmtId="0" fontId="0" fillId="0" borderId="0" xfId="0"/>
    <xf numFmtId="164" fontId="3" fillId="0" borderId="0" xfId="1" applyNumberFormat="1" applyFont="1" applyFill="1"/>
    <xf numFmtId="9" fontId="3" fillId="0" borderId="0" xfId="2" applyFont="1" applyFill="1"/>
    <xf numFmtId="0" fontId="3" fillId="0" borderId="0" xfId="0" applyFont="1"/>
    <xf numFmtId="164" fontId="3" fillId="0" borderId="0" xfId="0" applyNumberFormat="1" applyFont="1"/>
    <xf numFmtId="0" fontId="5" fillId="0" borderId="0" xfId="3" applyFont="1"/>
    <xf numFmtId="0" fontId="7" fillId="0" borderId="0" xfId="3" applyFont="1"/>
    <xf numFmtId="0" fontId="8" fillId="0" borderId="0" xfId="3" applyFont="1"/>
    <xf numFmtId="0" fontId="2" fillId="0" borderId="0" xfId="0" applyFont="1" applyAlignment="1">
      <alignment horizontal="right"/>
    </xf>
    <xf numFmtId="165" fontId="0" fillId="0" borderId="0" xfId="2" applyNumberFormat="1" applyFont="1" applyFill="1"/>
    <xf numFmtId="164" fontId="3" fillId="0" borderId="1" xfId="1" applyNumberFormat="1" applyFont="1" applyFill="1" applyBorder="1"/>
    <xf numFmtId="0" fontId="10" fillId="0" borderId="0" xfId="0" applyFont="1"/>
    <xf numFmtId="0" fontId="11" fillId="0" borderId="0" xfId="0" applyFont="1"/>
    <xf numFmtId="2" fontId="2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4" fontId="3" fillId="0" borderId="0" xfId="1" applyNumberFormat="1" applyFont="1" applyFill="1" applyBorder="1"/>
    <xf numFmtId="9" fontId="0" fillId="0" borderId="0" xfId="2" applyFont="1" applyFill="1"/>
    <xf numFmtId="43" fontId="3" fillId="0" borderId="0" xfId="0" applyNumberFormat="1" applyFont="1"/>
    <xf numFmtId="0" fontId="3" fillId="0" borderId="1" xfId="0" applyFont="1" applyBorder="1"/>
    <xf numFmtId="0" fontId="0" fillId="0" borderId="1" xfId="0" applyBorder="1"/>
    <xf numFmtId="9" fontId="3" fillId="0" borderId="0" xfId="0" applyNumberFormat="1" applyFont="1"/>
    <xf numFmtId="1" fontId="3" fillId="0" borderId="0" xfId="0" applyNumberFormat="1" applyFont="1" applyAlignment="1">
      <alignment horizontal="center"/>
    </xf>
    <xf numFmtId="9" fontId="0" fillId="0" borderId="0" xfId="0" applyNumberFormat="1"/>
    <xf numFmtId="2" fontId="0" fillId="0" borderId="0" xfId="0" applyNumberFormat="1"/>
    <xf numFmtId="0" fontId="13" fillId="0" borderId="0" xfId="0" applyFont="1"/>
    <xf numFmtId="8" fontId="13" fillId="0" borderId="0" xfId="0" applyNumberFormat="1" applyFont="1"/>
    <xf numFmtId="9" fontId="13" fillId="0" borderId="0" xfId="2" applyFont="1" applyFill="1"/>
    <xf numFmtId="0" fontId="2" fillId="2" borderId="0" xfId="0" applyFont="1" applyFill="1"/>
    <xf numFmtId="2" fontId="3" fillId="2" borderId="0" xfId="0" applyNumberFormat="1" applyFont="1" applyFill="1"/>
    <xf numFmtId="0" fontId="3" fillId="2" borderId="0" xfId="0" applyFont="1" applyFill="1"/>
    <xf numFmtId="164" fontId="3" fillId="2" borderId="0" xfId="1" applyNumberFormat="1" applyFont="1" applyFill="1"/>
    <xf numFmtId="0" fontId="6" fillId="2" borderId="0" xfId="3" applyFont="1" applyFill="1"/>
    <xf numFmtId="0" fontId="5" fillId="2" borderId="0" xfId="3" applyFont="1" applyFill="1"/>
    <xf numFmtId="0" fontId="0" fillId="2" borderId="0" xfId="0" applyFill="1"/>
    <xf numFmtId="164" fontId="3" fillId="2" borderId="0" xfId="0" applyNumberFormat="1" applyFont="1" applyFill="1"/>
    <xf numFmtId="0" fontId="9" fillId="2" borderId="0" xfId="0" applyFont="1" applyFill="1"/>
    <xf numFmtId="164" fontId="9" fillId="2" borderId="0" xfId="0" applyNumberFormat="1" applyFont="1" applyFill="1"/>
    <xf numFmtId="2" fontId="2" fillId="2" borderId="0" xfId="0" applyNumberFormat="1" applyFont="1" applyFill="1"/>
    <xf numFmtId="0" fontId="12" fillId="2" borderId="0" xfId="0" applyFont="1" applyFill="1"/>
    <xf numFmtId="166" fontId="3" fillId="2" borderId="0" xfId="0" applyNumberFormat="1" applyFont="1" applyFill="1"/>
    <xf numFmtId="167" fontId="3" fillId="2" borderId="0" xfId="0" applyNumberFormat="1" applyFont="1" applyFill="1"/>
    <xf numFmtId="164" fontId="3" fillId="2" borderId="1" xfId="1" applyNumberFormat="1" applyFont="1" applyFill="1" applyBorder="1"/>
    <xf numFmtId="9" fontId="3" fillId="2" borderId="0" xfId="2" applyFont="1" applyFill="1"/>
    <xf numFmtId="43" fontId="3" fillId="2" borderId="0" xfId="0" applyNumberFormat="1" applyFont="1" applyFill="1"/>
    <xf numFmtId="0" fontId="5" fillId="2" borderId="1" xfId="3" applyFont="1" applyFill="1" applyBorder="1"/>
    <xf numFmtId="0" fontId="3" fillId="2" borderId="1" xfId="0" applyFont="1" applyFill="1" applyBorder="1"/>
    <xf numFmtId="2" fontId="0" fillId="2" borderId="0" xfId="0" applyNumberFormat="1" applyFill="1"/>
    <xf numFmtId="8" fontId="3" fillId="0" borderId="0" xfId="0" applyNumberFormat="1" applyFont="1"/>
  </cellXfs>
  <cellStyles count="4">
    <cellStyle name="Comma" xfId="1" builtinId="3"/>
    <cellStyle name="Normal" xfId="0" builtinId="0"/>
    <cellStyle name="Normal 10" xfId="3" xr:uid="{00000000-0005-0000-0000-000002000000}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zoomScale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6" sqref="J6"/>
    </sheetView>
  </sheetViews>
  <sheetFormatPr baseColWidth="10" defaultColWidth="11.5" defaultRowHeight="16" outlineLevelRow="1" outlineLevelCol="1" x14ac:dyDescent="0.2"/>
  <cols>
    <col min="1" max="1" width="33.33203125" customWidth="1"/>
    <col min="2" max="2" width="16.6640625" hidden="1" customWidth="1" outlineLevel="1"/>
    <col min="3" max="3" width="17.1640625" hidden="1" customWidth="1" outlineLevel="1"/>
    <col min="4" max="4" width="15.83203125" bestFit="1" customWidth="1" collapsed="1"/>
    <col min="5" max="5" width="13.6640625" customWidth="1"/>
    <col min="6" max="6" width="15.83203125" bestFit="1" customWidth="1"/>
    <col min="7" max="7" width="16.5" bestFit="1" customWidth="1"/>
    <col min="8" max="8" width="15.83203125" bestFit="1" customWidth="1"/>
    <col min="9" max="9" width="13.33203125" customWidth="1"/>
    <col min="10" max="10" width="16.5" customWidth="1"/>
    <col min="11" max="11" width="12.33203125" customWidth="1"/>
    <col min="12" max="12" width="13.5" customWidth="1"/>
    <col min="13" max="13" width="13.33203125" customWidth="1"/>
    <col min="14" max="14" width="14.1640625" customWidth="1"/>
  </cols>
  <sheetData>
    <row r="1" spans="1:15" ht="19" x14ac:dyDescent="0.25">
      <c r="A1" s="28" t="s">
        <v>80</v>
      </c>
      <c r="B1" s="28" t="str">
        <f>A1&amp;" US Equity"</f>
        <v>Ticker US Equity</v>
      </c>
      <c r="C1" s="28"/>
      <c r="D1" s="29" t="e">
        <f ca="1">+_xll.BDP(B1,"PX_LAST")</f>
        <v>#NAME?</v>
      </c>
      <c r="E1" s="30" t="s">
        <v>79</v>
      </c>
      <c r="F1" s="30"/>
      <c r="G1" s="30"/>
      <c r="H1" s="30"/>
      <c r="I1" s="30" t="s">
        <v>78</v>
      </c>
      <c r="J1" s="48" t="e">
        <f ca="1">+E59</f>
        <v>#NAME?</v>
      </c>
      <c r="K1" s="3"/>
      <c r="L1" s="3"/>
      <c r="M1" s="3"/>
      <c r="N1" s="3"/>
    </row>
    <row r="2" spans="1:15" ht="19" x14ac:dyDescent="0.25">
      <c r="A2" s="30" t="s">
        <v>0</v>
      </c>
      <c r="B2" s="30"/>
      <c r="C2" s="30"/>
      <c r="D2" s="31" t="e">
        <f ca="1">+D1*I13</f>
        <v>#NAME?</v>
      </c>
      <c r="E2" s="30"/>
      <c r="F2" s="30"/>
      <c r="G2" s="30"/>
      <c r="H2" s="30"/>
      <c r="I2" s="30"/>
      <c r="J2" s="5"/>
      <c r="K2" s="5"/>
      <c r="L2" s="3"/>
      <c r="M2" s="3"/>
      <c r="N2" s="3"/>
    </row>
    <row r="3" spans="1:15" ht="19" x14ac:dyDescent="0.25">
      <c r="A3" s="30"/>
      <c r="B3" s="30"/>
      <c r="C3" s="30"/>
      <c r="D3" s="32" t="s">
        <v>1</v>
      </c>
      <c r="E3" s="32" t="s">
        <v>2</v>
      </c>
      <c r="F3" s="32" t="s">
        <v>3</v>
      </c>
      <c r="G3" s="32" t="s">
        <v>4</v>
      </c>
      <c r="H3" s="32" t="s">
        <v>5</v>
      </c>
      <c r="I3" s="32" t="s">
        <v>6</v>
      </c>
      <c r="J3" s="6"/>
      <c r="K3" s="7"/>
      <c r="L3" s="3"/>
      <c r="M3" s="3"/>
      <c r="N3" s="3"/>
      <c r="O3" t="s">
        <v>7</v>
      </c>
    </row>
    <row r="4" spans="1:15" ht="19" x14ac:dyDescent="0.25">
      <c r="A4" s="30"/>
      <c r="B4" s="30"/>
      <c r="C4" s="30"/>
      <c r="D4" s="28">
        <v>2019</v>
      </c>
      <c r="E4" s="28">
        <v>2020</v>
      </c>
      <c r="F4" s="28">
        <v>2021</v>
      </c>
      <c r="G4" s="28">
        <v>2022</v>
      </c>
      <c r="H4" s="28">
        <v>2023</v>
      </c>
      <c r="I4" s="28">
        <v>2024</v>
      </c>
      <c r="J4" s="8" t="s">
        <v>8</v>
      </c>
      <c r="K4" s="8" t="s">
        <v>9</v>
      </c>
      <c r="L4" s="8" t="s">
        <v>75</v>
      </c>
      <c r="M4" s="8" t="s">
        <v>76</v>
      </c>
      <c r="N4" s="8" t="s">
        <v>77</v>
      </c>
    </row>
    <row r="5" spans="1:15" ht="19" x14ac:dyDescent="0.25">
      <c r="A5" s="28" t="s">
        <v>10</v>
      </c>
      <c r="B5" s="28"/>
      <c r="C5" s="28"/>
      <c r="D5" s="30"/>
      <c r="E5" s="30"/>
      <c r="F5" s="30"/>
      <c r="G5" s="30"/>
      <c r="H5" s="30"/>
      <c r="I5" s="30"/>
      <c r="J5" s="3"/>
      <c r="K5" s="3"/>
      <c r="L5" s="3"/>
      <c r="M5" s="3"/>
      <c r="N5" s="3"/>
    </row>
    <row r="6" spans="1:15" ht="19" x14ac:dyDescent="0.25">
      <c r="A6" s="30" t="s">
        <v>11</v>
      </c>
      <c r="B6" s="33" t="s">
        <v>12</v>
      </c>
      <c r="C6" s="34"/>
      <c r="D6" s="31" t="e">
        <f ca="1">_xll.BDP($B$1,$B6,D$3)</f>
        <v>#NAME?</v>
      </c>
      <c r="E6" s="31" t="e">
        <f ca="1">_xll.BDP($B$1,$B6,E$3)</f>
        <v>#NAME?</v>
      </c>
      <c r="F6" s="31" t="e">
        <f ca="1">_xll.BDP($B$1,$B6,F$3)</f>
        <v>#NAME?</v>
      </c>
      <c r="G6" s="31" t="e">
        <f ca="1">_xll.BDP($B$1,$B6,G$3)</f>
        <v>#NAME?</v>
      </c>
      <c r="H6" s="31" t="e">
        <f ca="1">_xll.BDP($B$1,$B6,H$3)</f>
        <v>#NAME?</v>
      </c>
      <c r="I6" s="31" t="e">
        <f ca="1">_xll.BDP($B$1,$B6,I$3)</f>
        <v>#NAME?</v>
      </c>
      <c r="J6" s="1" t="e">
        <f t="shared" ref="J6:K6" ca="1" si="0">+I6*SUM(1+J42)</f>
        <v>#NAME?</v>
      </c>
      <c r="K6" s="1" t="e">
        <f t="shared" ca="1" si="0"/>
        <v>#NAME?</v>
      </c>
      <c r="L6" s="1" t="e">
        <f ca="1">+K6*SUM(1+L42)</f>
        <v>#NAME?</v>
      </c>
      <c r="M6" s="1" t="e">
        <f t="shared" ref="M6:N6" ca="1" si="1">+L6*SUM(1+M42)</f>
        <v>#NAME?</v>
      </c>
      <c r="N6" s="1" t="e">
        <f t="shared" ca="1" si="1"/>
        <v>#NAME?</v>
      </c>
      <c r="O6" s="9" t="e">
        <f ca="1">+_xlfn.RRI(5,D6,I6)</f>
        <v>#NAME?</v>
      </c>
    </row>
    <row r="7" spans="1:15" ht="19" x14ac:dyDescent="0.25">
      <c r="A7" s="30" t="s">
        <v>13</v>
      </c>
      <c r="B7" s="33" t="s">
        <v>14</v>
      </c>
      <c r="C7" s="30"/>
      <c r="D7" s="31" t="e">
        <f ca="1">_xll.BDP($B$1,$B7,D$3)</f>
        <v>#NAME?</v>
      </c>
      <c r="E7" s="31" t="e">
        <f ca="1">_xll.BDP($B$1,$B7,E$3)</f>
        <v>#NAME?</v>
      </c>
      <c r="F7" s="31" t="e">
        <f ca="1">_xll.BDP($B$1,$B7,F$3)</f>
        <v>#NAME?</v>
      </c>
      <c r="G7" s="31" t="e">
        <f ca="1">_xll.BDP($B$1,$B7,G$3)</f>
        <v>#NAME?</v>
      </c>
      <c r="H7" s="31" t="e">
        <f ca="1">_xll.BDP($B$1,$B7,H$3)</f>
        <v>#NAME?</v>
      </c>
      <c r="I7" s="31" t="e">
        <f ca="1">_xll.BDP($B$1,$B7,I$3)</f>
        <v>#NAME?</v>
      </c>
      <c r="J7" s="1" t="e">
        <f ca="1">+J6*J43</f>
        <v>#NAME?</v>
      </c>
      <c r="K7" s="1" t="e">
        <f ca="1">+K6*K43</f>
        <v>#NAME?</v>
      </c>
      <c r="L7" s="1" t="e">
        <f ca="1">+L6*L43</f>
        <v>#NAME?</v>
      </c>
      <c r="M7" s="1" t="e">
        <f ca="1">+M6*M43</f>
        <v>#NAME?</v>
      </c>
      <c r="N7" s="1" t="e">
        <f ca="1">+N6*N43</f>
        <v>#NAME?</v>
      </c>
    </row>
    <row r="8" spans="1:15" ht="19" x14ac:dyDescent="0.25">
      <c r="A8" s="30" t="s">
        <v>15</v>
      </c>
      <c r="B8" s="33" t="s">
        <v>16</v>
      </c>
      <c r="C8" s="30"/>
      <c r="D8" s="31" t="e">
        <f ca="1">_xll.BDP($B$1,$B8,D$3)</f>
        <v>#NAME?</v>
      </c>
      <c r="E8" s="31" t="e">
        <f ca="1">_xll.BDP($B$1,$B8,E$3)</f>
        <v>#NAME?</v>
      </c>
      <c r="F8" s="31" t="e">
        <f ca="1">_xll.BDP($B$1,$B8,F$3)</f>
        <v>#NAME?</v>
      </c>
      <c r="G8" s="31" t="e">
        <f ca="1">_xll.BDP($B$1,$B8,G$3)</f>
        <v>#NAME?</v>
      </c>
      <c r="H8" s="31" t="e">
        <f ca="1">_xll.BDP($B$1,$B8,H$3)</f>
        <v>#NAME?</v>
      </c>
      <c r="I8" s="31" t="e">
        <f ca="1">_xll.BDP($B$1,$B8,I$3)</f>
        <v>#NAME?</v>
      </c>
      <c r="J8" s="1" t="e">
        <f ca="1">+SUM(J38:J39)*J46</f>
        <v>#NAME?</v>
      </c>
      <c r="K8" s="1" t="e">
        <f t="shared" ref="K8:M8" ca="1" si="2">+SUM(K38:K39)*K46</f>
        <v>#NAME?</v>
      </c>
      <c r="L8" s="1" t="e">
        <f t="shared" ca="1" si="2"/>
        <v>#NAME?</v>
      </c>
      <c r="M8" s="1" t="e">
        <f t="shared" ca="1" si="2"/>
        <v>#NAME?</v>
      </c>
      <c r="N8" s="1" t="e">
        <f ca="1">+SUM(N38:N39)*N46</f>
        <v>#NAME?</v>
      </c>
    </row>
    <row r="9" spans="1:15" ht="19" x14ac:dyDescent="0.25">
      <c r="A9" s="30" t="s">
        <v>17</v>
      </c>
      <c r="B9" s="30"/>
      <c r="C9" s="30"/>
      <c r="D9" s="35" t="e">
        <f ca="1">+D7-D8-D10</f>
        <v>#NAME?</v>
      </c>
      <c r="E9" s="35" t="e">
        <f t="shared" ref="E9:I9" ca="1" si="3">+E7-E8-E10</f>
        <v>#NAME?</v>
      </c>
      <c r="F9" s="35" t="e">
        <f t="shared" ca="1" si="3"/>
        <v>#NAME?</v>
      </c>
      <c r="G9" s="35" t="e">
        <f t="shared" ca="1" si="3"/>
        <v>#NAME?</v>
      </c>
      <c r="H9" s="35" t="e">
        <f t="shared" ca="1" si="3"/>
        <v>#NAME?</v>
      </c>
      <c r="I9" s="35" t="e">
        <f t="shared" ca="1" si="3"/>
        <v>#NAME?</v>
      </c>
      <c r="J9" s="4"/>
      <c r="K9" s="4">
        <f>+J9</f>
        <v>0</v>
      </c>
      <c r="L9" s="4"/>
      <c r="M9" s="4">
        <f t="shared" ref="M9:N9" si="4">+L9</f>
        <v>0</v>
      </c>
      <c r="N9" s="4">
        <f t="shared" si="4"/>
        <v>0</v>
      </c>
    </row>
    <row r="10" spans="1:15" ht="19" x14ac:dyDescent="0.25">
      <c r="A10" s="30" t="s">
        <v>18</v>
      </c>
      <c r="B10" s="33" t="s">
        <v>19</v>
      </c>
      <c r="C10" s="30"/>
      <c r="D10" s="31" t="e">
        <f ca="1">_xll.BDP($B$1,$B10,D$3)</f>
        <v>#NAME?</v>
      </c>
      <c r="E10" s="31" t="e">
        <f ca="1">_xll.BDP($B$1,$B10,E$3)</f>
        <v>#NAME?</v>
      </c>
      <c r="F10" s="31" t="e">
        <f ca="1">_xll.BDP($B$1,$B10,F$3)</f>
        <v>#NAME?</v>
      </c>
      <c r="G10" s="31" t="e">
        <f ca="1">_xll.BDP($B$1,$B10,G$3)</f>
        <v>#NAME?</v>
      </c>
      <c r="H10" s="31" t="e">
        <f ca="1">_xll.BDP($B$1,$B10,H$3)</f>
        <v>#NAME?</v>
      </c>
      <c r="I10" s="31" t="e">
        <f ca="1">_xll.BDP($B$1,$B10,I$3)</f>
        <v>#NAME?</v>
      </c>
      <c r="J10" s="1" t="e">
        <f ca="1">+J7-J8-J9</f>
        <v>#NAME?</v>
      </c>
      <c r="K10" s="1" t="e">
        <f t="shared" ref="K10:N10" ca="1" si="5">+K7-K8-K9</f>
        <v>#NAME?</v>
      </c>
      <c r="L10" s="1" t="e">
        <f t="shared" ca="1" si="5"/>
        <v>#NAME?</v>
      </c>
      <c r="M10" s="1" t="e">
        <f t="shared" ca="1" si="5"/>
        <v>#NAME?</v>
      </c>
      <c r="N10" s="1" t="e">
        <f t="shared" ca="1" si="5"/>
        <v>#NAME?</v>
      </c>
    </row>
    <row r="11" spans="1:15" s="11" customFormat="1" ht="19" x14ac:dyDescent="0.25">
      <c r="A11" s="36" t="s">
        <v>20</v>
      </c>
      <c r="B11" s="36"/>
      <c r="C11" s="36"/>
      <c r="D11" s="37" t="e">
        <f ca="1">+D12-D10</f>
        <v>#NAME?</v>
      </c>
      <c r="E11" s="37" t="e">
        <f t="shared" ref="E11:I11" ca="1" si="6">+E12-E10</f>
        <v>#NAME?</v>
      </c>
      <c r="F11" s="37" t="e">
        <f t="shared" ca="1" si="6"/>
        <v>#NAME?</v>
      </c>
      <c r="G11" s="37" t="e">
        <f t="shared" ca="1" si="6"/>
        <v>#NAME?</v>
      </c>
      <c r="H11" s="37" t="e">
        <f t="shared" ca="1" si="6"/>
        <v>#NAME?</v>
      </c>
      <c r="I11" s="37" t="e">
        <f t="shared" ca="1" si="6"/>
        <v>#NAME?</v>
      </c>
      <c r="J11" s="10" t="e">
        <f ca="1">J10*J44</f>
        <v>#NAME?</v>
      </c>
      <c r="K11" s="10" t="e">
        <f t="shared" ref="K11:N11" ca="1" si="7">K10*K44</f>
        <v>#NAME?</v>
      </c>
      <c r="L11" s="10" t="e">
        <f t="shared" ca="1" si="7"/>
        <v>#NAME?</v>
      </c>
      <c r="M11" s="10" t="e">
        <f t="shared" ca="1" si="7"/>
        <v>#NAME?</v>
      </c>
      <c r="N11" s="10" t="e">
        <f t="shared" ca="1" si="7"/>
        <v>#NAME?</v>
      </c>
    </row>
    <row r="12" spans="1:15" s="12" customFormat="1" ht="19" x14ac:dyDescent="0.25">
      <c r="A12" s="28" t="s">
        <v>21</v>
      </c>
      <c r="B12" s="33" t="s">
        <v>22</v>
      </c>
      <c r="C12" s="28"/>
      <c r="D12" s="31" t="e">
        <f ca="1">_xll.BDP($B$1,$B12,D$3)</f>
        <v>#NAME?</v>
      </c>
      <c r="E12" s="31" t="e">
        <f ca="1">_xll.BDP($B$1,$B12,E$3)</f>
        <v>#NAME?</v>
      </c>
      <c r="F12" s="31" t="e">
        <f ca="1">_xll.BDP($B$1,$B12,F$3)</f>
        <v>#NAME?</v>
      </c>
      <c r="G12" s="31" t="e">
        <f ca="1">_xll.BDP($B$1,$B12,G$3)</f>
        <v>#NAME?</v>
      </c>
      <c r="H12" s="31" t="e">
        <f ca="1">_xll.BDP($B$1,$B12,H$3)</f>
        <v>#NAME?</v>
      </c>
      <c r="I12" s="31" t="e">
        <f ca="1">_xll.BDP($B$1,$B12,I$3)</f>
        <v>#NAME?</v>
      </c>
      <c r="J12" s="1" t="e">
        <f ca="1">+J10+J11</f>
        <v>#NAME?</v>
      </c>
      <c r="K12" s="1" t="e">
        <f t="shared" ref="K12:N12" ca="1" si="8">+K10+K11</f>
        <v>#NAME?</v>
      </c>
      <c r="L12" s="1" t="e">
        <f t="shared" ca="1" si="8"/>
        <v>#NAME?</v>
      </c>
      <c r="M12" s="1" t="e">
        <f t="shared" ca="1" si="8"/>
        <v>#NAME?</v>
      </c>
      <c r="N12" s="1" t="e">
        <f t="shared" ca="1" si="8"/>
        <v>#NAME?</v>
      </c>
    </row>
    <row r="13" spans="1:15" ht="19" x14ac:dyDescent="0.25">
      <c r="A13" s="30" t="s">
        <v>23</v>
      </c>
      <c r="B13" s="33" t="s">
        <v>24</v>
      </c>
      <c r="C13" s="30"/>
      <c r="D13" s="31" t="e">
        <f ca="1">_xll.BDP($B$1,$B13,D$3)</f>
        <v>#NAME?</v>
      </c>
      <c r="E13" s="31" t="e">
        <f ca="1">_xll.BDP($B$1,$B13,E$3)</f>
        <v>#NAME?</v>
      </c>
      <c r="F13" s="31" t="e">
        <f ca="1">_xll.BDP($B$1,$B13,F$3)</f>
        <v>#NAME?</v>
      </c>
      <c r="G13" s="31" t="e">
        <f ca="1">_xll.BDP($B$1,$B13,G$3)</f>
        <v>#NAME?</v>
      </c>
      <c r="H13" s="31" t="e">
        <f ca="1">_xll.BDP($B$1,$B13,H$3)</f>
        <v>#NAME?</v>
      </c>
      <c r="I13" s="31" t="e">
        <f ca="1">_xll.BDP($B$1,$B13,I$3)</f>
        <v>#NAME?</v>
      </c>
      <c r="J13" s="1" t="e">
        <f ca="1">+I13+(J32/J47)</f>
        <v>#NAME?</v>
      </c>
      <c r="K13" s="1" t="e">
        <f t="shared" ref="K13:N13" ca="1" si="9">+J13+(K32/K47)</f>
        <v>#NAME?</v>
      </c>
      <c r="L13" s="1" t="e">
        <f t="shared" ca="1" si="9"/>
        <v>#NAME?</v>
      </c>
      <c r="M13" s="1" t="e">
        <f t="shared" ca="1" si="9"/>
        <v>#NAME?</v>
      </c>
      <c r="N13" s="1" t="e">
        <f t="shared" ca="1" si="9"/>
        <v>#NAME?</v>
      </c>
      <c r="O13" s="9" t="e">
        <f ca="1">+_xlfn.RRI(5,D13,I13)</f>
        <v>#NAME?</v>
      </c>
    </row>
    <row r="14" spans="1:15" s="12" customFormat="1" ht="19" x14ac:dyDescent="0.25">
      <c r="A14" s="28" t="s">
        <v>25</v>
      </c>
      <c r="B14" s="28"/>
      <c r="C14" s="28"/>
      <c r="D14" s="38" t="e">
        <f ca="1">+D12/D13</f>
        <v>#NAME?</v>
      </c>
      <c r="E14" s="38" t="e">
        <f t="shared" ref="E14:N14" ca="1" si="10">+E12/E13</f>
        <v>#NAME?</v>
      </c>
      <c r="F14" s="38" t="e">
        <f t="shared" ca="1" si="10"/>
        <v>#NAME?</v>
      </c>
      <c r="G14" s="38" t="e">
        <f t="shared" ca="1" si="10"/>
        <v>#NAME?</v>
      </c>
      <c r="H14" s="38" t="e">
        <f t="shared" ca="1" si="10"/>
        <v>#NAME?</v>
      </c>
      <c r="I14" s="38" t="e">
        <f t="shared" ca="1" si="10"/>
        <v>#NAME?</v>
      </c>
      <c r="J14" s="13" t="e">
        <f t="shared" ca="1" si="10"/>
        <v>#NAME?</v>
      </c>
      <c r="K14" s="13" t="e">
        <f t="shared" ca="1" si="10"/>
        <v>#NAME?</v>
      </c>
      <c r="L14" s="13" t="e">
        <f t="shared" ca="1" si="10"/>
        <v>#NAME?</v>
      </c>
      <c r="M14" s="13" t="e">
        <f t="shared" ca="1" si="10"/>
        <v>#NAME?</v>
      </c>
      <c r="N14" s="13" t="e">
        <f t="shared" ca="1" si="10"/>
        <v>#NAME?</v>
      </c>
    </row>
    <row r="15" spans="1:15" ht="19" x14ac:dyDescent="0.25">
      <c r="A15" s="39" t="s">
        <v>26</v>
      </c>
      <c r="B15" s="39"/>
      <c r="C15" s="39"/>
      <c r="D15" s="30"/>
      <c r="E15" s="30"/>
      <c r="F15" s="30"/>
      <c r="G15" s="30"/>
      <c r="H15" s="30"/>
      <c r="I15" s="30"/>
      <c r="J15" s="3"/>
      <c r="K15" s="3"/>
      <c r="L15" s="3"/>
      <c r="M15" s="3"/>
      <c r="N15" s="3"/>
    </row>
    <row r="16" spans="1:15" ht="19" x14ac:dyDescent="0.25">
      <c r="A16" s="30" t="s">
        <v>27</v>
      </c>
      <c r="B16" s="30"/>
      <c r="C16" s="30"/>
      <c r="D16" s="30"/>
      <c r="E16" s="30"/>
      <c r="F16" s="30"/>
      <c r="G16" s="30"/>
      <c r="H16" s="30"/>
      <c r="I16" s="40"/>
      <c r="J16" s="14" t="e">
        <f ca="1">+D1/J14</f>
        <v>#NAME?</v>
      </c>
      <c r="K16" s="3"/>
      <c r="L16" s="3"/>
      <c r="M16" s="3"/>
      <c r="N16" s="3"/>
      <c r="O16" t="e">
        <f ca="1">+AVERAGE(G16:J16)</f>
        <v>#NAME?</v>
      </c>
    </row>
    <row r="17" spans="1:15" ht="19" x14ac:dyDescent="0.25">
      <c r="A17" s="30"/>
      <c r="B17" s="30"/>
      <c r="C17" s="30"/>
      <c r="D17" s="30"/>
      <c r="E17" s="30"/>
      <c r="F17" s="30"/>
      <c r="G17" s="30"/>
      <c r="H17" s="35"/>
      <c r="I17" s="35"/>
      <c r="J17" s="4"/>
      <c r="K17" s="4"/>
      <c r="L17" s="4"/>
      <c r="M17" s="4"/>
      <c r="N17" s="4"/>
    </row>
    <row r="18" spans="1:15" ht="19" x14ac:dyDescent="0.25">
      <c r="A18" s="28" t="s">
        <v>28</v>
      </c>
      <c r="B18" s="28"/>
      <c r="C18" s="28"/>
      <c r="D18" s="30"/>
      <c r="E18" s="30"/>
      <c r="F18" s="30"/>
      <c r="G18" s="30"/>
      <c r="H18" s="41"/>
      <c r="I18" s="41"/>
      <c r="J18" s="15"/>
      <c r="K18" s="15"/>
      <c r="L18" s="15"/>
      <c r="M18" s="15"/>
      <c r="N18" s="15"/>
    </row>
    <row r="19" spans="1:15" ht="19" x14ac:dyDescent="0.25">
      <c r="A19" s="30" t="s">
        <v>29</v>
      </c>
      <c r="B19" s="33" t="s">
        <v>30</v>
      </c>
      <c r="C19" s="30"/>
      <c r="D19" s="31" t="e">
        <f ca="1">_xll.BDP($B$1,$B19,D$3)</f>
        <v>#NAME?</v>
      </c>
      <c r="E19" s="31" t="e">
        <f ca="1">_xll.BDP($B$1,$B19,E$3)</f>
        <v>#NAME?</v>
      </c>
      <c r="F19" s="31" t="e">
        <f ca="1">_xll.BDP($B$1,$B19,F$3)</f>
        <v>#NAME?</v>
      </c>
      <c r="G19" s="31" t="e">
        <f ca="1">_xll.BDP($B$1,$B19,G$3)</f>
        <v>#NAME?</v>
      </c>
      <c r="H19" s="31" t="e">
        <f ca="1">_xll.BDP($B$1,$B19,H$3)</f>
        <v>#NAME?</v>
      </c>
      <c r="I19" s="31" t="e">
        <f ca="1">_xll.BDP($B$1,$B19,I$3)</f>
        <v>#NAME?</v>
      </c>
      <c r="J19" s="16" t="e">
        <f ca="1">-J48*J6</f>
        <v>#NAME?</v>
      </c>
      <c r="K19" s="16" t="e">
        <f t="shared" ref="K19:N19" ca="1" si="11">-K48*K6</f>
        <v>#NAME?</v>
      </c>
      <c r="L19" s="16" t="e">
        <f t="shared" ca="1" si="11"/>
        <v>#NAME?</v>
      </c>
      <c r="M19" s="16" t="e">
        <f t="shared" ca="1" si="11"/>
        <v>#NAME?</v>
      </c>
      <c r="N19" s="16" t="e">
        <f t="shared" ca="1" si="11"/>
        <v>#NAME?</v>
      </c>
      <c r="O19" s="17" t="e">
        <f ca="1">+_xlfn.RRI(5,D19,I19)</f>
        <v>#NAME?</v>
      </c>
    </row>
    <row r="20" spans="1:15" s="11" customFormat="1" ht="19" x14ac:dyDescent="0.25">
      <c r="A20" s="36" t="s">
        <v>31</v>
      </c>
      <c r="B20" s="33" t="s">
        <v>32</v>
      </c>
      <c r="C20" s="36"/>
      <c r="D20" s="42" t="e">
        <f ca="1">_xll.BDP($B$1,$B20,D$3)</f>
        <v>#NAME?</v>
      </c>
      <c r="E20" s="42" t="e">
        <f ca="1">_xll.BDP($B$1,$B20,E$3)</f>
        <v>#NAME?</v>
      </c>
      <c r="F20" s="42" t="e">
        <f ca="1">_xll.BDP($B$1,$B20,F$3)</f>
        <v>#NAME?</v>
      </c>
      <c r="G20" s="42" t="e">
        <f ca="1">_xll.BDP($B$1,$B20,G$3)</f>
        <v>#NAME?</v>
      </c>
      <c r="H20" s="42" t="e">
        <f ca="1">_xll.BDP($B$1,$B20,H$3)</f>
        <v>#NAME?</v>
      </c>
      <c r="I20" s="42" t="e">
        <f ca="1">_xll.BDP($B$1,$B20,I$3)</f>
        <v>#NAME?</v>
      </c>
      <c r="J20" s="10" t="e">
        <f ca="1">+J6*J49</f>
        <v>#NAME?</v>
      </c>
      <c r="K20" s="10" t="e">
        <f t="shared" ref="K20:N20" ca="1" si="12">+K6*K49</f>
        <v>#NAME?</v>
      </c>
      <c r="L20" s="10" t="e">
        <f t="shared" ca="1" si="12"/>
        <v>#NAME?</v>
      </c>
      <c r="M20" s="10" t="e">
        <f t="shared" ca="1" si="12"/>
        <v>#NAME?</v>
      </c>
      <c r="N20" s="10" t="e">
        <f t="shared" ca="1" si="12"/>
        <v>#NAME?</v>
      </c>
      <c r="O20" s="17" t="e">
        <f ca="1">+_xlfn.RRI(5,D20,I20)</f>
        <v>#NAME?</v>
      </c>
    </row>
    <row r="21" spans="1:15" ht="19" x14ac:dyDescent="0.25">
      <c r="A21" s="30" t="s">
        <v>28</v>
      </c>
      <c r="B21" s="30"/>
      <c r="C21" s="30"/>
      <c r="D21" s="31" t="e">
        <f t="shared" ref="D21:N21" ca="1" si="13">+D12+D19+D20</f>
        <v>#NAME?</v>
      </c>
      <c r="E21" s="31" t="e">
        <f t="shared" ca="1" si="13"/>
        <v>#NAME?</v>
      </c>
      <c r="F21" s="31" t="e">
        <f t="shared" ca="1" si="13"/>
        <v>#NAME?</v>
      </c>
      <c r="G21" s="31" t="e">
        <f t="shared" ca="1" si="13"/>
        <v>#NAME?</v>
      </c>
      <c r="H21" s="31" t="e">
        <f t="shared" ca="1" si="13"/>
        <v>#NAME?</v>
      </c>
      <c r="I21" s="31" t="e">
        <f t="shared" ca="1" si="13"/>
        <v>#NAME?</v>
      </c>
      <c r="J21" s="1" t="e">
        <f t="shared" ca="1" si="13"/>
        <v>#NAME?</v>
      </c>
      <c r="K21" s="1" t="e">
        <f t="shared" ca="1" si="13"/>
        <v>#NAME?</v>
      </c>
      <c r="L21" s="1" t="e">
        <f t="shared" ca="1" si="13"/>
        <v>#NAME?</v>
      </c>
      <c r="M21" s="1" t="e">
        <f t="shared" ca="1" si="13"/>
        <v>#NAME?</v>
      </c>
      <c r="N21" s="1" t="e">
        <f t="shared" ca="1" si="13"/>
        <v>#NAME?</v>
      </c>
    </row>
    <row r="22" spans="1:15" ht="19" x14ac:dyDescent="0.25">
      <c r="A22" s="30" t="s">
        <v>33</v>
      </c>
      <c r="B22" s="30"/>
      <c r="C22" s="30"/>
      <c r="D22" s="30"/>
      <c r="E22" s="30"/>
      <c r="F22" s="30"/>
      <c r="G22" s="30"/>
      <c r="H22" s="30"/>
      <c r="I22" s="43" t="e">
        <f ca="1">+I21/I13/D1</f>
        <v>#NAME?</v>
      </c>
      <c r="J22" s="3"/>
      <c r="K22" s="3"/>
      <c r="L22" s="3"/>
      <c r="M22" s="3"/>
      <c r="N22" s="3"/>
    </row>
    <row r="23" spans="1:15" ht="19" x14ac:dyDescent="0.25">
      <c r="A23" s="30"/>
      <c r="B23" s="30"/>
      <c r="C23" s="30"/>
      <c r="D23" s="30"/>
      <c r="E23" s="30"/>
      <c r="F23" s="30"/>
      <c r="G23" s="30"/>
      <c r="H23" s="30"/>
      <c r="I23" s="43" t="e">
        <f ca="1">+I24/D1</f>
        <v>#NAME?</v>
      </c>
      <c r="J23" s="3"/>
      <c r="K23" s="3"/>
      <c r="L23" s="3"/>
      <c r="M23" s="3"/>
      <c r="N23" s="3"/>
    </row>
    <row r="24" spans="1:15" ht="19" x14ac:dyDescent="0.25">
      <c r="A24" s="30" t="s">
        <v>34</v>
      </c>
      <c r="B24" s="30"/>
      <c r="C24" s="30"/>
      <c r="D24" s="44" t="e">
        <f ca="1">-D25/D13</f>
        <v>#NAME?</v>
      </c>
      <c r="E24" s="44" t="e">
        <f t="shared" ref="E24:I24" ca="1" si="14">-E25/E13</f>
        <v>#NAME?</v>
      </c>
      <c r="F24" s="44" t="e">
        <f t="shared" ca="1" si="14"/>
        <v>#NAME?</v>
      </c>
      <c r="G24" s="44" t="e">
        <f t="shared" ca="1" si="14"/>
        <v>#NAME?</v>
      </c>
      <c r="H24" s="44" t="e">
        <f t="shared" ca="1" si="14"/>
        <v>#NAME?</v>
      </c>
      <c r="I24" s="44" t="e">
        <f t="shared" ca="1" si="14"/>
        <v>#NAME?</v>
      </c>
      <c r="J24" s="18" t="e">
        <f ca="1">+I24*(1+$O24)</f>
        <v>#NAME?</v>
      </c>
      <c r="K24" s="18" t="e">
        <f t="shared" ref="K24:N24" ca="1" si="15">+J24*(1+$O24)</f>
        <v>#NAME?</v>
      </c>
      <c r="L24" s="18" t="e">
        <f t="shared" ca="1" si="15"/>
        <v>#NAME?</v>
      </c>
      <c r="M24" s="18" t="e">
        <f t="shared" ca="1" si="15"/>
        <v>#NAME?</v>
      </c>
      <c r="N24" s="18" t="e">
        <f t="shared" ca="1" si="15"/>
        <v>#NAME?</v>
      </c>
      <c r="O24" s="17" t="e">
        <f ca="1">+_xlfn.RRI(5,D24,I24)</f>
        <v>#NAME?</v>
      </c>
    </row>
    <row r="25" spans="1:15" ht="19" x14ac:dyDescent="0.25">
      <c r="A25" s="30" t="s">
        <v>35</v>
      </c>
      <c r="B25" s="33" t="s">
        <v>36</v>
      </c>
      <c r="C25" s="30"/>
      <c r="D25" s="42" t="e">
        <f ca="1">_xll.BDP($B$1,$B25,D$3)</f>
        <v>#NAME?</v>
      </c>
      <c r="E25" s="42" t="e">
        <f ca="1">_xll.BDP($B$1,$B25,E$3)</f>
        <v>#NAME?</v>
      </c>
      <c r="F25" s="42" t="e">
        <f ca="1">_xll.BDP($B$1,$B25,F$3)</f>
        <v>#NAME?</v>
      </c>
      <c r="G25" s="42" t="e">
        <f ca="1">_xll.BDP($B$1,$B25,G$3)</f>
        <v>#NAME?</v>
      </c>
      <c r="H25" s="42" t="e">
        <f ca="1">_xll.BDP($B$1,$B25,H$3)</f>
        <v>#NAME?</v>
      </c>
      <c r="I25" s="42" t="e">
        <f ca="1">_xll.BDP($B$1,$B25,I$3)</f>
        <v>#NAME?</v>
      </c>
      <c r="J25" s="1" t="e">
        <f ca="1">-J24*J13</f>
        <v>#NAME?</v>
      </c>
      <c r="K25" s="1" t="e">
        <f t="shared" ref="K25:N25" ca="1" si="16">-K24*K13</f>
        <v>#NAME?</v>
      </c>
      <c r="L25" s="1" t="e">
        <f t="shared" ca="1" si="16"/>
        <v>#NAME?</v>
      </c>
      <c r="M25" s="1" t="e">
        <f t="shared" ca="1" si="16"/>
        <v>#NAME?</v>
      </c>
      <c r="N25" s="1" t="e">
        <f t="shared" ca="1" si="16"/>
        <v>#NAME?</v>
      </c>
    </row>
    <row r="26" spans="1:15" ht="19" hidden="1" outlineLevel="1" x14ac:dyDescent="0.25">
      <c r="A26" s="30"/>
      <c r="B26" s="33" t="s">
        <v>37</v>
      </c>
      <c r="C26" s="30"/>
      <c r="D26" s="31" t="e">
        <f ca="1">_xll.BDP($B$1,$B26,D$3)</f>
        <v>#NAME?</v>
      </c>
      <c r="E26" s="31" t="e">
        <f ca="1">_xll.BDP($B$1,$B26,E$3)</f>
        <v>#NAME?</v>
      </c>
      <c r="F26" s="31" t="e">
        <f ca="1">_xll.BDP($B$1,$B26,F$3)</f>
        <v>#NAME?</v>
      </c>
      <c r="G26" s="31" t="e">
        <f ca="1">_xll.BDP($B$1,$B26,G$3)</f>
        <v>#NAME?</v>
      </c>
      <c r="H26" s="31" t="e">
        <f ca="1">_xll.BDP($B$1,$B26,H$3)</f>
        <v>#NAME?</v>
      </c>
      <c r="I26" s="31" t="e">
        <f ca="1">_xll.BDP($B$1,$B26,I$3)</f>
        <v>#NAME?</v>
      </c>
      <c r="J26" s="3"/>
      <c r="K26" s="3"/>
      <c r="L26" s="3"/>
      <c r="M26" s="3"/>
      <c r="N26" s="3"/>
    </row>
    <row r="27" spans="1:15" ht="19" hidden="1" outlineLevel="1" x14ac:dyDescent="0.25">
      <c r="A27" s="30"/>
      <c r="B27" s="33" t="s">
        <v>38</v>
      </c>
      <c r="C27" s="30"/>
      <c r="D27" s="31" t="e">
        <f ca="1">_xll.BDP($B$1,$B27,D$3)</f>
        <v>#NAME?</v>
      </c>
      <c r="E27" s="31" t="e">
        <f ca="1">_xll.BDP($B$1,$B27,E$3)</f>
        <v>#NAME?</v>
      </c>
      <c r="F27" s="31" t="e">
        <f ca="1">_xll.BDP($B$1,$B27,F$3)</f>
        <v>#NAME?</v>
      </c>
      <c r="G27" s="31" t="e">
        <f ca="1">_xll.BDP($B$1,$B27,G$3)</f>
        <v>#NAME?</v>
      </c>
      <c r="H27" s="31" t="e">
        <f ca="1">_xll.BDP($B$1,$B27,H$3)</f>
        <v>#NAME?</v>
      </c>
      <c r="I27" s="31" t="e">
        <f ca="1">_xll.BDP($B$1,$B27,I$3)</f>
        <v>#NAME?</v>
      </c>
      <c r="J27" s="3"/>
      <c r="K27" s="3"/>
      <c r="L27" s="3"/>
      <c r="M27" s="3"/>
      <c r="N27" s="3"/>
    </row>
    <row r="28" spans="1:15" ht="19" hidden="1" outlineLevel="1" x14ac:dyDescent="0.25">
      <c r="A28" s="30"/>
      <c r="B28" s="33" t="s">
        <v>39</v>
      </c>
      <c r="C28" s="30"/>
      <c r="D28" s="31" t="e">
        <f ca="1">_xll.BDP($B$1,$B28,D$3)</f>
        <v>#NAME?</v>
      </c>
      <c r="E28" s="31" t="e">
        <f ca="1">_xll.BDP($B$1,$B28,E$3)</f>
        <v>#NAME?</v>
      </c>
      <c r="F28" s="31" t="e">
        <f ca="1">_xll.BDP($B$1,$B28,F$3)</f>
        <v>#NAME?</v>
      </c>
      <c r="G28" s="31" t="e">
        <f ca="1">_xll.BDP($B$1,$B28,G$3)</f>
        <v>#NAME?</v>
      </c>
      <c r="H28" s="31" t="e">
        <f ca="1">_xll.BDP($B$1,$B28,H$3)</f>
        <v>#NAME?</v>
      </c>
      <c r="I28" s="31" t="e">
        <f ca="1">_xll.BDP($B$1,$B28,I$3)</f>
        <v>#NAME?</v>
      </c>
      <c r="J28" s="3"/>
      <c r="K28" s="3"/>
      <c r="L28" s="3"/>
      <c r="M28" s="3"/>
      <c r="N28" s="3"/>
    </row>
    <row r="29" spans="1:15" ht="19" collapsed="1" x14ac:dyDescent="0.25">
      <c r="A29" s="30" t="s">
        <v>40</v>
      </c>
      <c r="B29" s="30"/>
      <c r="C29" s="30"/>
      <c r="D29" s="35" t="e">
        <f ca="1">+SUM(D26:D28)</f>
        <v>#NAME?</v>
      </c>
      <c r="E29" s="35" t="e">
        <f t="shared" ref="E29:I29" ca="1" si="17">+SUM(E26:E28)</f>
        <v>#NAME?</v>
      </c>
      <c r="F29" s="35" t="e">
        <f t="shared" ca="1" si="17"/>
        <v>#NAME?</v>
      </c>
      <c r="G29" s="35" t="e">
        <f t="shared" ca="1" si="17"/>
        <v>#NAME?</v>
      </c>
      <c r="H29" s="35" t="e">
        <f t="shared" ca="1" si="17"/>
        <v>#NAME?</v>
      </c>
      <c r="I29" s="35" t="e">
        <f t="shared" ca="1" si="17"/>
        <v>#NAME?</v>
      </c>
      <c r="J29" s="1">
        <v>-1000</v>
      </c>
      <c r="K29" s="1">
        <f t="shared" ref="J29:N32" si="18">+J29</f>
        <v>-1000</v>
      </c>
      <c r="L29" s="1">
        <f t="shared" si="18"/>
        <v>-1000</v>
      </c>
      <c r="M29" s="1">
        <f t="shared" si="18"/>
        <v>-1000</v>
      </c>
      <c r="N29" s="1">
        <f t="shared" si="18"/>
        <v>-1000</v>
      </c>
    </row>
    <row r="30" spans="1:15" ht="19" hidden="1" outlineLevel="1" x14ac:dyDescent="0.25">
      <c r="A30" s="30"/>
      <c r="B30" s="33" t="s">
        <v>41</v>
      </c>
      <c r="C30" s="30"/>
      <c r="D30" s="31" t="e">
        <f ca="1">_xll.BDP($B$1,$B30,D$3)</f>
        <v>#NAME?</v>
      </c>
      <c r="E30" s="31" t="e">
        <f ca="1">_xll.BDP($B$1,$B30,E$3)</f>
        <v>#NAME?</v>
      </c>
      <c r="F30" s="31" t="e">
        <f ca="1">_xll.BDP($B$1,$B30,F$3)</f>
        <v>#NAME?</v>
      </c>
      <c r="G30" s="31" t="e">
        <f ca="1">_xll.BDP($B$1,$B30,G$3)</f>
        <v>#NAME?</v>
      </c>
      <c r="H30" s="31" t="e">
        <f ca="1">_xll.BDP($B$1,$B30,H$3)</f>
        <v>#NAME?</v>
      </c>
      <c r="I30" s="31" t="e">
        <f ca="1">_xll.BDP($B$1,$B30,I$3)</f>
        <v>#NAME?</v>
      </c>
      <c r="J30" s="1" t="e">
        <f t="shared" ca="1" si="18"/>
        <v>#NAME?</v>
      </c>
      <c r="K30" s="1" t="e">
        <f t="shared" ca="1" si="18"/>
        <v>#NAME?</v>
      </c>
      <c r="L30" s="1" t="e">
        <f t="shared" ca="1" si="18"/>
        <v>#NAME?</v>
      </c>
      <c r="M30" s="1" t="e">
        <f t="shared" ca="1" si="18"/>
        <v>#NAME?</v>
      </c>
      <c r="N30" s="1" t="e">
        <f t="shared" ca="1" si="18"/>
        <v>#NAME?</v>
      </c>
    </row>
    <row r="31" spans="1:15" ht="19" hidden="1" outlineLevel="1" x14ac:dyDescent="0.25">
      <c r="A31" s="30"/>
      <c r="B31" s="45" t="s">
        <v>42</v>
      </c>
      <c r="C31" s="30"/>
      <c r="D31" s="31" t="e">
        <f ca="1">_xll.BDP($B$1,$B31,D$3)</f>
        <v>#NAME?</v>
      </c>
      <c r="E31" s="31" t="e">
        <f ca="1">_xll.BDP($B$1,$B31,E$3)</f>
        <v>#NAME?</v>
      </c>
      <c r="F31" s="31" t="e">
        <f ca="1">_xll.BDP($B$1,$B31,F$3)</f>
        <v>#NAME?</v>
      </c>
      <c r="G31" s="31" t="e">
        <f ca="1">_xll.BDP($B$1,$B31,G$3)</f>
        <v>#NAME?</v>
      </c>
      <c r="H31" s="31" t="e">
        <f ca="1">_xll.BDP($B$1,$B31,H$3)</f>
        <v>#NAME?</v>
      </c>
      <c r="I31" s="31" t="e">
        <f ca="1">_xll.BDP($B$1,$B31,I$3)</f>
        <v>#NAME?</v>
      </c>
      <c r="J31" s="1" t="e">
        <f t="shared" ca="1" si="18"/>
        <v>#NAME?</v>
      </c>
      <c r="K31" s="1" t="e">
        <f t="shared" ca="1" si="18"/>
        <v>#NAME?</v>
      </c>
      <c r="L31" s="1" t="e">
        <f t="shared" ca="1" si="18"/>
        <v>#NAME?</v>
      </c>
      <c r="M31" s="1" t="e">
        <f t="shared" ca="1" si="18"/>
        <v>#NAME?</v>
      </c>
      <c r="N31" s="1" t="e">
        <f t="shared" ca="1" si="18"/>
        <v>#NAME?</v>
      </c>
    </row>
    <row r="32" spans="1:15" ht="19" collapsed="1" x14ac:dyDescent="0.25">
      <c r="A32" s="30" t="s">
        <v>43</v>
      </c>
      <c r="B32" s="30"/>
      <c r="C32" s="30"/>
      <c r="D32" s="35" t="e">
        <f ca="1">+D31-D30</f>
        <v>#NAME?</v>
      </c>
      <c r="E32" s="35" t="e">
        <f t="shared" ref="E32:I32" ca="1" si="19">+E31-E30</f>
        <v>#NAME?</v>
      </c>
      <c r="F32" s="35" t="e">
        <f t="shared" ca="1" si="19"/>
        <v>#NAME?</v>
      </c>
      <c r="G32" s="35" t="e">
        <f t="shared" ca="1" si="19"/>
        <v>#NAME?</v>
      </c>
      <c r="H32" s="35" t="e">
        <f t="shared" ca="1" si="19"/>
        <v>#NAME?</v>
      </c>
      <c r="I32" s="35" t="e">
        <f t="shared" ca="1" si="19"/>
        <v>#NAME?</v>
      </c>
      <c r="J32" s="1">
        <v>-500</v>
      </c>
      <c r="K32" s="1">
        <f t="shared" si="18"/>
        <v>-500</v>
      </c>
      <c r="L32" s="1">
        <f t="shared" si="18"/>
        <v>-500</v>
      </c>
      <c r="M32" s="1">
        <f t="shared" si="18"/>
        <v>-500</v>
      </c>
      <c r="N32" s="1">
        <f t="shared" si="18"/>
        <v>-500</v>
      </c>
    </row>
    <row r="33" spans="1:15" x14ac:dyDescent="0.2">
      <c r="A33" s="34"/>
      <c r="B33" s="34"/>
      <c r="C33" s="34"/>
      <c r="D33" s="34"/>
      <c r="E33" s="34"/>
      <c r="F33" s="34"/>
      <c r="G33" s="34"/>
      <c r="H33" s="34"/>
      <c r="I33" s="34"/>
    </row>
    <row r="34" spans="1:15" ht="19" x14ac:dyDescent="0.25">
      <c r="A34" s="28" t="s">
        <v>44</v>
      </c>
      <c r="B34" s="28"/>
      <c r="C34" s="28"/>
      <c r="D34" s="30"/>
      <c r="E34" s="30"/>
      <c r="F34" s="30"/>
      <c r="G34" s="30"/>
      <c r="H34" s="30"/>
      <c r="I34" s="30"/>
      <c r="J34" s="3"/>
      <c r="K34" s="3"/>
      <c r="L34" s="3"/>
      <c r="M34" s="3"/>
      <c r="N34" s="3"/>
    </row>
    <row r="35" spans="1:15" ht="19" x14ac:dyDescent="0.25">
      <c r="A35" s="30" t="s">
        <v>45</v>
      </c>
      <c r="B35" s="30"/>
      <c r="C35" s="30"/>
      <c r="D35" s="35" t="e">
        <f t="shared" ref="D35:H35" ca="1" si="20">+D36+D37</f>
        <v>#NAME?</v>
      </c>
      <c r="E35" s="35" t="e">
        <f t="shared" ca="1" si="20"/>
        <v>#NAME?</v>
      </c>
      <c r="F35" s="35" t="e">
        <f t="shared" ca="1" si="20"/>
        <v>#NAME?</v>
      </c>
      <c r="G35" s="35" t="e">
        <f t="shared" ca="1" si="20"/>
        <v>#NAME?</v>
      </c>
      <c r="H35" s="35" t="e">
        <f t="shared" ca="1" si="20"/>
        <v>#NAME?</v>
      </c>
      <c r="I35" s="35" t="e">
        <f ca="1">+I36+I37</f>
        <v>#NAME?</v>
      </c>
      <c r="J35" s="1" t="e">
        <f ca="1">+I35+J21+J25+J29+J32</f>
        <v>#NAME?</v>
      </c>
      <c r="K35" s="1" t="e">
        <f t="shared" ref="K35:N35" ca="1" si="21">+J35+K21+K25+K29+K32</f>
        <v>#NAME?</v>
      </c>
      <c r="L35" s="1" t="e">
        <f t="shared" ca="1" si="21"/>
        <v>#NAME?</v>
      </c>
      <c r="M35" s="1" t="e">
        <f t="shared" ca="1" si="21"/>
        <v>#NAME?</v>
      </c>
      <c r="N35" s="1" t="e">
        <f t="shared" ca="1" si="21"/>
        <v>#NAME?</v>
      </c>
    </row>
    <row r="36" spans="1:15" ht="19" hidden="1" outlineLevel="1" x14ac:dyDescent="0.25">
      <c r="A36" s="30"/>
      <c r="B36" s="33" t="s">
        <v>46</v>
      </c>
      <c r="C36" s="30"/>
      <c r="D36" s="31" t="e">
        <f ca="1">_xll.BDP($B$1,$B36,D$3)</f>
        <v>#NAME?</v>
      </c>
      <c r="E36" s="31" t="e">
        <f ca="1">_xll.BDP($B$1,$B36,E$3)</f>
        <v>#NAME?</v>
      </c>
      <c r="F36" s="31" t="e">
        <f ca="1">_xll.BDP($B$1,$B36,F$3)</f>
        <v>#NAME?</v>
      </c>
      <c r="G36" s="31" t="e">
        <f ca="1">_xll.BDP($B$1,$B36,G$3)</f>
        <v>#NAME?</v>
      </c>
      <c r="H36" s="31" t="e">
        <f ca="1">_xll.BDP($B$1,$B36,H$3)</f>
        <v>#NAME?</v>
      </c>
      <c r="I36" s="31" t="e">
        <f ca="1">_xll.BDP($B$1,$B36,I$3)</f>
        <v>#NAME?</v>
      </c>
      <c r="J36" s="1"/>
      <c r="K36" s="1"/>
      <c r="L36" s="1"/>
      <c r="M36" s="1"/>
      <c r="N36" s="1"/>
    </row>
    <row r="37" spans="1:15" ht="19" hidden="1" outlineLevel="1" x14ac:dyDescent="0.25">
      <c r="A37" s="30"/>
      <c r="B37" s="33" t="s">
        <v>47</v>
      </c>
      <c r="C37" s="30"/>
      <c r="D37" s="31" t="e">
        <f ca="1">_xll.BDP($B$1,$B37,D$3)</f>
        <v>#NAME?</v>
      </c>
      <c r="E37" s="31" t="e">
        <f ca="1">_xll.BDP($B$1,$B37,E$3)</f>
        <v>#NAME?</v>
      </c>
      <c r="F37" s="31" t="e">
        <f ca="1">_xll.BDP($B$1,$B37,F$3)</f>
        <v>#NAME?</v>
      </c>
      <c r="G37" s="31" t="e">
        <f ca="1">_xll.BDP($B$1,$B37,G$3)</f>
        <v>#NAME?</v>
      </c>
      <c r="H37" s="31" t="e">
        <f ca="1">_xll.BDP($B$1,$B37,H$3)</f>
        <v>#NAME?</v>
      </c>
      <c r="I37" s="31" t="e">
        <f ca="1">_xll.BDP($B$1,$B37,I$3)</f>
        <v>#NAME?</v>
      </c>
      <c r="J37" s="1"/>
      <c r="K37" s="1"/>
      <c r="L37" s="1"/>
      <c r="M37" s="1"/>
      <c r="N37" s="1"/>
    </row>
    <row r="38" spans="1:15" ht="19" collapsed="1" x14ac:dyDescent="0.25">
      <c r="A38" s="30" t="s">
        <v>48</v>
      </c>
      <c r="B38" s="33" t="s">
        <v>49</v>
      </c>
      <c r="C38" s="30"/>
      <c r="D38" s="42" t="e">
        <f ca="1">_xll.BDP($B$1,$B38,D$3)</f>
        <v>#NAME?</v>
      </c>
      <c r="E38" s="42" t="e">
        <f ca="1">_xll.BDP($B$1,$B38,E$3)</f>
        <v>#NAME?</v>
      </c>
      <c r="F38" s="42" t="e">
        <f ca="1">_xll.BDP($B$1,$B38,F$3)</f>
        <v>#NAME?</v>
      </c>
      <c r="G38" s="42" t="e">
        <f ca="1">_xll.BDP($B$1,$B38,G$3)</f>
        <v>#NAME?</v>
      </c>
      <c r="H38" s="42" t="e">
        <f ca="1">_xll.BDP($B$1,$B38,H$3)</f>
        <v>#NAME?</v>
      </c>
      <c r="I38" s="42" t="e">
        <f ca="1">_xll.BDP($B$1,$B38,I$3)</f>
        <v>#NAME?</v>
      </c>
      <c r="J38" s="1" t="e">
        <f ca="1">+I38+J29</f>
        <v>#NAME?</v>
      </c>
      <c r="K38" s="1" t="e">
        <f t="shared" ref="K38:N38" ca="1" si="22">+J38+K29</f>
        <v>#NAME?</v>
      </c>
      <c r="L38" s="1" t="e">
        <f t="shared" ca="1" si="22"/>
        <v>#NAME?</v>
      </c>
      <c r="M38" s="1" t="e">
        <f t="shared" ca="1" si="22"/>
        <v>#NAME?</v>
      </c>
      <c r="N38" s="1" t="e">
        <f t="shared" ca="1" si="22"/>
        <v>#NAME?</v>
      </c>
    </row>
    <row r="39" spans="1:15" s="11" customFormat="1" ht="19" x14ac:dyDescent="0.25">
      <c r="A39" s="36" t="s">
        <v>50</v>
      </c>
      <c r="B39" s="33" t="s">
        <v>51</v>
      </c>
      <c r="C39" s="36"/>
      <c r="D39" s="42" t="e">
        <f ca="1">_xll.BDP($B$1,$B39,D$3)</f>
        <v>#NAME?</v>
      </c>
      <c r="E39" s="42" t="e">
        <f ca="1">_xll.BDP($B$1,$B39,E$3)</f>
        <v>#NAME?</v>
      </c>
      <c r="F39" s="42" t="e">
        <f ca="1">_xll.BDP($B$1,$B39,F$3)</f>
        <v>#NAME?</v>
      </c>
      <c r="G39" s="42" t="e">
        <f ca="1">_xll.BDP($B$1,$B39,G$3)</f>
        <v>#NAME?</v>
      </c>
      <c r="H39" s="42" t="e">
        <f ca="1">_xll.BDP($B$1,$B39,H$3)</f>
        <v>#NAME?</v>
      </c>
      <c r="I39" s="42" t="e">
        <f ca="1">_xll.BDP($B$1,$B39,I$3)</f>
        <v>#NAME?</v>
      </c>
      <c r="J39" s="10" t="e">
        <f ca="1">+I39</f>
        <v>#NAME?</v>
      </c>
      <c r="K39" s="10" t="e">
        <f t="shared" ref="K39:N39" ca="1" si="23">+J39</f>
        <v>#NAME?</v>
      </c>
      <c r="L39" s="10" t="e">
        <f t="shared" ca="1" si="23"/>
        <v>#NAME?</v>
      </c>
      <c r="M39" s="10" t="e">
        <f t="shared" ca="1" si="23"/>
        <v>#NAME?</v>
      </c>
      <c r="N39" s="10" t="e">
        <f t="shared" ca="1" si="23"/>
        <v>#NAME?</v>
      </c>
    </row>
    <row r="40" spans="1:15" ht="19" x14ac:dyDescent="0.25">
      <c r="A40" s="30" t="s">
        <v>52</v>
      </c>
      <c r="B40" s="30"/>
      <c r="C40" s="30"/>
      <c r="D40" s="31" t="e">
        <f ca="1">+D38+D39-D35</f>
        <v>#NAME?</v>
      </c>
      <c r="E40" s="31" t="e">
        <f t="shared" ref="E40:N40" ca="1" si="24">+E38+E39-E35</f>
        <v>#NAME?</v>
      </c>
      <c r="F40" s="31" t="e">
        <f t="shared" ca="1" si="24"/>
        <v>#NAME?</v>
      </c>
      <c r="G40" s="31" t="e">
        <f t="shared" ca="1" si="24"/>
        <v>#NAME?</v>
      </c>
      <c r="H40" s="31" t="e">
        <f t="shared" ca="1" si="24"/>
        <v>#NAME?</v>
      </c>
      <c r="I40" s="31" t="e">
        <f t="shared" ca="1" si="24"/>
        <v>#NAME?</v>
      </c>
      <c r="J40" s="1" t="e">
        <f t="shared" ca="1" si="24"/>
        <v>#NAME?</v>
      </c>
      <c r="K40" s="1" t="e">
        <f t="shared" ca="1" si="24"/>
        <v>#NAME?</v>
      </c>
      <c r="L40" s="1" t="e">
        <f t="shared" ca="1" si="24"/>
        <v>#NAME?</v>
      </c>
      <c r="M40" s="1" t="e">
        <f t="shared" ca="1" si="24"/>
        <v>#NAME?</v>
      </c>
      <c r="N40" s="1" t="e">
        <f t="shared" ca="1" si="24"/>
        <v>#NAME?</v>
      </c>
    </row>
    <row r="41" spans="1:15" s="20" customFormat="1" ht="19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19"/>
      <c r="K41" s="19"/>
      <c r="L41" s="19"/>
      <c r="M41" s="19"/>
      <c r="N41" s="19"/>
    </row>
    <row r="42" spans="1:15" ht="19" x14ac:dyDescent="0.25">
      <c r="A42" s="30" t="s">
        <v>53</v>
      </c>
      <c r="B42" s="30"/>
      <c r="C42" s="30"/>
      <c r="D42" s="30"/>
      <c r="E42" s="43" t="e">
        <f ca="1">+E6/D6-1</f>
        <v>#NAME?</v>
      </c>
      <c r="F42" s="43" t="e">
        <f ca="1">+F6/E6-1</f>
        <v>#NAME?</v>
      </c>
      <c r="G42" s="43" t="e">
        <f ca="1">+G6/F6-1</f>
        <v>#NAME?</v>
      </c>
      <c r="H42" s="43" t="e">
        <f ca="1">+H6/G6-1</f>
        <v>#NAME?</v>
      </c>
      <c r="I42" s="43" t="e">
        <f ca="1">+I6/H6-1</f>
        <v>#NAME?</v>
      </c>
      <c r="J42" s="2">
        <v>0.06</v>
      </c>
      <c r="K42" s="2">
        <v>0.06</v>
      </c>
      <c r="L42" s="2">
        <v>0.06</v>
      </c>
      <c r="M42" s="2">
        <f>+L42</f>
        <v>0.06</v>
      </c>
      <c r="N42" s="2">
        <f>+M42</f>
        <v>0.06</v>
      </c>
    </row>
    <row r="43" spans="1:15" ht="19" x14ac:dyDescent="0.25">
      <c r="A43" s="30" t="s">
        <v>54</v>
      </c>
      <c r="B43" s="30"/>
      <c r="C43" s="30"/>
      <c r="D43" s="43" t="e">
        <f ca="1">+D7/D6</f>
        <v>#NAME?</v>
      </c>
      <c r="E43" s="43" t="e">
        <f t="shared" ref="E43:I43" ca="1" si="25">+E7/E6</f>
        <v>#NAME?</v>
      </c>
      <c r="F43" s="43" t="e">
        <f t="shared" ca="1" si="25"/>
        <v>#NAME?</v>
      </c>
      <c r="G43" s="43" t="e">
        <f t="shared" ca="1" si="25"/>
        <v>#NAME?</v>
      </c>
      <c r="H43" s="43" t="e">
        <f t="shared" ca="1" si="25"/>
        <v>#NAME?</v>
      </c>
      <c r="I43" s="43" t="e">
        <f t="shared" ca="1" si="25"/>
        <v>#NAME?</v>
      </c>
      <c r="J43" s="2" t="e">
        <f ca="1">+I43</f>
        <v>#NAME?</v>
      </c>
      <c r="K43" s="21" t="e">
        <f ca="1">+J43</f>
        <v>#NAME?</v>
      </c>
      <c r="L43" s="21" t="e">
        <f t="shared" ref="L43:N46" ca="1" si="26">+K43</f>
        <v>#NAME?</v>
      </c>
      <c r="M43" s="21" t="e">
        <f t="shared" ca="1" si="26"/>
        <v>#NAME?</v>
      </c>
      <c r="N43" s="21" t="e">
        <f t="shared" ca="1" si="26"/>
        <v>#NAME?</v>
      </c>
    </row>
    <row r="44" spans="1:15" ht="19" x14ac:dyDescent="0.25">
      <c r="A44" s="30" t="s">
        <v>55</v>
      </c>
      <c r="B44" s="30"/>
      <c r="C44" s="30"/>
      <c r="D44" s="43" t="e">
        <f t="shared" ref="D44:H44" ca="1" si="27">+D11/D10</f>
        <v>#NAME?</v>
      </c>
      <c r="E44" s="43" t="e">
        <f t="shared" ca="1" si="27"/>
        <v>#NAME?</v>
      </c>
      <c r="F44" s="43" t="e">
        <f t="shared" ca="1" si="27"/>
        <v>#NAME?</v>
      </c>
      <c r="G44" s="43" t="e">
        <f t="shared" ca="1" si="27"/>
        <v>#NAME?</v>
      </c>
      <c r="H44" s="43" t="e">
        <f t="shared" ca="1" si="27"/>
        <v>#NAME?</v>
      </c>
      <c r="I44" s="43" t="e">
        <f ca="1">+I11/I10</f>
        <v>#NAME?</v>
      </c>
      <c r="J44" s="2" t="e">
        <f ca="1">+AVERAGE(D44:I44)</f>
        <v>#NAME?</v>
      </c>
      <c r="K44" s="21" t="e">
        <f ca="1">+J44</f>
        <v>#NAME?</v>
      </c>
      <c r="L44" s="21" t="e">
        <f t="shared" ca="1" si="26"/>
        <v>#NAME?</v>
      </c>
      <c r="M44" s="21" t="e">
        <f t="shared" ca="1" si="26"/>
        <v>#NAME?</v>
      </c>
      <c r="N44" s="21" t="e">
        <f t="shared" ca="1" si="26"/>
        <v>#NAME?</v>
      </c>
    </row>
    <row r="45" spans="1:15" ht="19" x14ac:dyDescent="0.25">
      <c r="A45" s="30" t="s">
        <v>56</v>
      </c>
      <c r="B45" s="30"/>
      <c r="C45" s="30"/>
      <c r="D45" s="30"/>
      <c r="E45" s="43" t="e">
        <f ca="1">+E13/D13-1</f>
        <v>#NAME?</v>
      </c>
      <c r="F45" s="43" t="e">
        <f t="shared" ref="F45:N45" ca="1" si="28">+F13/E13-1</f>
        <v>#NAME?</v>
      </c>
      <c r="G45" s="43" t="e">
        <f t="shared" ca="1" si="28"/>
        <v>#NAME?</v>
      </c>
      <c r="H45" s="43" t="e">
        <f t="shared" ca="1" si="28"/>
        <v>#NAME?</v>
      </c>
      <c r="I45" s="43" t="e">
        <f t="shared" ca="1" si="28"/>
        <v>#NAME?</v>
      </c>
      <c r="J45" s="2" t="e">
        <f ca="1">+AVERAGE(D45:I45)</f>
        <v>#NAME?</v>
      </c>
      <c r="K45" s="2" t="e">
        <f t="shared" ca="1" si="28"/>
        <v>#NAME?</v>
      </c>
      <c r="L45" s="2" t="e">
        <f t="shared" ca="1" si="28"/>
        <v>#NAME?</v>
      </c>
      <c r="M45" s="2" t="e">
        <f t="shared" ca="1" si="28"/>
        <v>#NAME?</v>
      </c>
      <c r="N45" s="2" t="e">
        <f t="shared" ca="1" si="28"/>
        <v>#NAME?</v>
      </c>
    </row>
    <row r="46" spans="1:15" ht="19" x14ac:dyDescent="0.25">
      <c r="A46" s="30" t="s">
        <v>57</v>
      </c>
      <c r="B46" s="30"/>
      <c r="C46" s="30"/>
      <c r="D46" s="43" t="e">
        <f ca="1">+D8/D38</f>
        <v>#NAME?</v>
      </c>
      <c r="E46" s="43" t="e">
        <f t="shared" ref="E46:I46" ca="1" si="29">+E8/E38</f>
        <v>#NAME?</v>
      </c>
      <c r="F46" s="43" t="e">
        <f t="shared" ca="1" si="29"/>
        <v>#NAME?</v>
      </c>
      <c r="G46" s="43" t="e">
        <f t="shared" ca="1" si="29"/>
        <v>#NAME?</v>
      </c>
      <c r="H46" s="43" t="e">
        <f t="shared" ca="1" si="29"/>
        <v>#NAME?</v>
      </c>
      <c r="I46" s="43" t="e">
        <f t="shared" ca="1" si="29"/>
        <v>#NAME?</v>
      </c>
      <c r="J46" s="2" t="e">
        <f t="shared" ref="J46" ca="1" si="30">+AVERAGE(E46:I46)</f>
        <v>#NAME?</v>
      </c>
      <c r="K46" s="21" t="e">
        <f t="shared" ref="K46" ca="1" si="31">+J46</f>
        <v>#NAME?</v>
      </c>
      <c r="L46" s="21" t="e">
        <f t="shared" ca="1" si="26"/>
        <v>#NAME?</v>
      </c>
      <c r="M46" s="21" t="e">
        <f t="shared" ca="1" si="26"/>
        <v>#NAME?</v>
      </c>
      <c r="N46" s="21" t="e">
        <f t="shared" ca="1" si="26"/>
        <v>#NAME?</v>
      </c>
      <c r="O46" s="17"/>
    </row>
    <row r="47" spans="1:15" ht="19" x14ac:dyDescent="0.25">
      <c r="A47" s="30" t="s">
        <v>58</v>
      </c>
      <c r="B47" s="30"/>
      <c r="C47" s="30"/>
      <c r="D47" s="34"/>
      <c r="E47" s="34"/>
      <c r="F47" s="34"/>
      <c r="G47" s="34"/>
      <c r="H47" s="34"/>
      <c r="I47" s="34"/>
      <c r="J47" s="22" t="e">
        <f ca="1">+D1*(1.1)</f>
        <v>#NAME?</v>
      </c>
      <c r="K47" s="22" t="e">
        <f ca="1">+J47*(1.1)</f>
        <v>#NAME?</v>
      </c>
      <c r="L47" s="22" t="e">
        <f t="shared" ref="L47:N47" ca="1" si="32">+K47*(1.1)</f>
        <v>#NAME?</v>
      </c>
      <c r="M47" s="22" t="e">
        <f t="shared" ca="1" si="32"/>
        <v>#NAME?</v>
      </c>
      <c r="N47" s="22" t="e">
        <f t="shared" ca="1" si="32"/>
        <v>#NAME?</v>
      </c>
    </row>
    <row r="48" spans="1:15" ht="19" x14ac:dyDescent="0.25">
      <c r="A48" s="30" t="s">
        <v>59</v>
      </c>
      <c r="B48" s="34"/>
      <c r="C48" s="34"/>
      <c r="D48" s="43" t="e">
        <f ca="1">-D19/D6</f>
        <v>#NAME?</v>
      </c>
      <c r="E48" s="43" t="e">
        <f t="shared" ref="E48:I48" ca="1" si="33">-E19/E6</f>
        <v>#NAME?</v>
      </c>
      <c r="F48" s="43" t="e">
        <f t="shared" ca="1" si="33"/>
        <v>#NAME?</v>
      </c>
      <c r="G48" s="43" t="e">
        <f t="shared" ca="1" si="33"/>
        <v>#NAME?</v>
      </c>
      <c r="H48" s="43" t="e">
        <f t="shared" ca="1" si="33"/>
        <v>#NAME?</v>
      </c>
      <c r="I48" s="43" t="e">
        <f t="shared" ca="1" si="33"/>
        <v>#NAME?</v>
      </c>
      <c r="J48" s="23" t="e">
        <f ca="1">+AVERAGE(D48:I48)</f>
        <v>#NAME?</v>
      </c>
      <c r="K48" s="23" t="e">
        <f ca="1">+J48</f>
        <v>#NAME?</v>
      </c>
      <c r="L48" s="23" t="e">
        <f t="shared" ref="L48:N49" ca="1" si="34">+K48</f>
        <v>#NAME?</v>
      </c>
      <c r="M48" s="23" t="e">
        <f t="shared" ca="1" si="34"/>
        <v>#NAME?</v>
      </c>
      <c r="N48" s="23" t="e">
        <f t="shared" ca="1" si="34"/>
        <v>#NAME?</v>
      </c>
    </row>
    <row r="49" spans="1:14" ht="19" x14ac:dyDescent="0.25">
      <c r="A49" s="30" t="s">
        <v>60</v>
      </c>
      <c r="B49" s="34"/>
      <c r="C49" s="34"/>
      <c r="D49" s="43" t="e">
        <f ca="1">+D20/D6</f>
        <v>#NAME?</v>
      </c>
      <c r="E49" s="43" t="e">
        <f t="shared" ref="E49:I49" ca="1" si="35">+E20/E6</f>
        <v>#NAME?</v>
      </c>
      <c r="F49" s="43" t="e">
        <f t="shared" ca="1" si="35"/>
        <v>#NAME?</v>
      </c>
      <c r="G49" s="43" t="e">
        <f t="shared" ca="1" si="35"/>
        <v>#NAME?</v>
      </c>
      <c r="H49" s="43" t="e">
        <f t="shared" ca="1" si="35"/>
        <v>#NAME?</v>
      </c>
      <c r="I49" s="43" t="e">
        <f t="shared" ca="1" si="35"/>
        <v>#NAME?</v>
      </c>
      <c r="J49" s="23" t="e">
        <f ca="1">+AVERAGE(D49:I49)</f>
        <v>#NAME?</v>
      </c>
      <c r="K49" s="23" t="e">
        <f ca="1">+J49</f>
        <v>#NAME?</v>
      </c>
      <c r="L49" s="23" t="e">
        <f t="shared" ca="1" si="34"/>
        <v>#NAME?</v>
      </c>
      <c r="M49" s="23" t="e">
        <f t="shared" ca="1" si="34"/>
        <v>#NAME?</v>
      </c>
      <c r="N49" s="23" t="e">
        <f t="shared" ca="1" si="34"/>
        <v>#NAME?</v>
      </c>
    </row>
    <row r="50" spans="1:14" ht="19" x14ac:dyDescent="0.25">
      <c r="A50" s="30" t="s">
        <v>61</v>
      </c>
      <c r="B50" s="34"/>
      <c r="C50" s="34"/>
      <c r="D50" s="43"/>
      <c r="E50" s="43"/>
      <c r="F50" s="43"/>
      <c r="G50" s="43"/>
      <c r="H50" s="43"/>
      <c r="I50" s="43" t="e">
        <f ca="1">-I45+I23</f>
        <v>#NAME?</v>
      </c>
      <c r="J50" s="23"/>
      <c r="K50" s="23"/>
      <c r="L50" s="23"/>
      <c r="M50" s="23"/>
      <c r="N50" s="23"/>
    </row>
    <row r="51" spans="1:14" x14ac:dyDescent="0.2">
      <c r="A51" s="34"/>
      <c r="B51" s="34"/>
      <c r="C51" s="34"/>
      <c r="D51" s="34"/>
      <c r="E51" s="34"/>
      <c r="F51" s="34"/>
      <c r="G51" s="34"/>
      <c r="H51" s="34"/>
      <c r="I51" s="34"/>
    </row>
    <row r="52" spans="1:14" ht="19" x14ac:dyDescent="0.25">
      <c r="A52" s="30" t="s">
        <v>62</v>
      </c>
      <c r="B52" s="34"/>
      <c r="C52" s="34"/>
      <c r="D52" s="34"/>
      <c r="E52" s="34"/>
      <c r="F52" s="34"/>
      <c r="G52" s="34"/>
      <c r="H52" s="34"/>
      <c r="I52" s="34"/>
    </row>
    <row r="53" spans="1:14" x14ac:dyDescent="0.2">
      <c r="A53" s="34" t="s">
        <v>34</v>
      </c>
      <c r="B53" s="34"/>
      <c r="C53" s="34"/>
      <c r="D53" s="34"/>
      <c r="E53" s="34"/>
      <c r="F53" s="34"/>
      <c r="G53" s="34"/>
      <c r="H53" s="34"/>
      <c r="I53" s="34"/>
      <c r="J53" s="24" t="e">
        <f ca="1">+J24</f>
        <v>#NAME?</v>
      </c>
      <c r="K53" s="24" t="e">
        <f t="shared" ref="K53:N53" ca="1" si="36">+K24</f>
        <v>#NAME?</v>
      </c>
      <c r="L53" s="24" t="e">
        <f t="shared" ca="1" si="36"/>
        <v>#NAME?</v>
      </c>
      <c r="M53" s="24" t="e">
        <f t="shared" ca="1" si="36"/>
        <v>#NAME?</v>
      </c>
      <c r="N53" s="24" t="e">
        <f t="shared" ca="1" si="36"/>
        <v>#NAME?</v>
      </c>
    </row>
    <row r="54" spans="1:14" ht="19" x14ac:dyDescent="0.25">
      <c r="A54" s="30" t="s">
        <v>63</v>
      </c>
      <c r="B54" s="34"/>
      <c r="C54" s="34"/>
      <c r="D54" s="34"/>
      <c r="E54" s="34"/>
      <c r="F54" s="34"/>
      <c r="G54" s="34"/>
      <c r="H54" s="34"/>
      <c r="I54" s="34"/>
      <c r="J54" s="24"/>
      <c r="K54" s="24"/>
      <c r="L54" s="24"/>
      <c r="M54" s="24"/>
      <c r="N54" s="24" t="e">
        <f ca="1">+N14*O16</f>
        <v>#NAME?</v>
      </c>
    </row>
    <row r="55" spans="1:14" x14ac:dyDescent="0.2">
      <c r="A55" s="34" t="s">
        <v>64</v>
      </c>
      <c r="B55" s="34"/>
      <c r="C55" s="34"/>
      <c r="D55" s="34" t="s">
        <v>65</v>
      </c>
      <c r="E55" s="47" t="e">
        <f ca="1">+_xll.BDP(B1,D55)</f>
        <v>#NAME?</v>
      </c>
      <c r="F55" s="34"/>
      <c r="G55" s="34"/>
      <c r="H55" s="34"/>
      <c r="I55" s="34"/>
      <c r="J55" s="24" t="e">
        <f ca="1">+J53+J54</f>
        <v>#NAME?</v>
      </c>
      <c r="K55" s="24" t="e">
        <f t="shared" ref="K55:N55" ca="1" si="37">+K53+K54</f>
        <v>#NAME?</v>
      </c>
      <c r="L55" s="24" t="e">
        <f t="shared" ca="1" si="37"/>
        <v>#NAME?</v>
      </c>
      <c r="M55" s="24" t="e">
        <f t="shared" ca="1" si="37"/>
        <v>#NAME?</v>
      </c>
      <c r="N55" s="24" t="e">
        <f t="shared" ca="1" si="37"/>
        <v>#NAME?</v>
      </c>
    </row>
    <row r="56" spans="1:14" ht="19" x14ac:dyDescent="0.25">
      <c r="A56" s="30" t="s">
        <v>66</v>
      </c>
      <c r="B56" s="34"/>
      <c r="C56" s="34"/>
      <c r="D56" s="34" t="s">
        <v>67</v>
      </c>
      <c r="E56" s="34" t="e">
        <f ca="1">+_xll.BDP(D56,"px_last")</f>
        <v>#NAME?</v>
      </c>
      <c r="F56" s="34"/>
      <c r="G56" s="34"/>
      <c r="H56" s="34"/>
      <c r="I56" s="34"/>
    </row>
    <row r="57" spans="1:14" ht="19" x14ac:dyDescent="0.25">
      <c r="A57" s="30" t="s">
        <v>68</v>
      </c>
      <c r="B57" s="34"/>
      <c r="C57" s="34"/>
      <c r="D57" s="34"/>
      <c r="E57" s="47" t="e">
        <f ca="1">+E55+E56</f>
        <v>#NAME?</v>
      </c>
      <c r="F57" s="34"/>
      <c r="G57" s="34"/>
      <c r="H57" s="34"/>
      <c r="I57" s="34"/>
    </row>
    <row r="59" spans="1:14" ht="24" x14ac:dyDescent="0.3">
      <c r="A59" s="25" t="s">
        <v>78</v>
      </c>
      <c r="D59" s="25"/>
      <c r="E59" s="26" t="e">
        <f ca="1">+NPV(E57%,J55:N55)</f>
        <v>#NAME?</v>
      </c>
    </row>
    <row r="61" spans="1:14" ht="24" x14ac:dyDescent="0.3">
      <c r="D61" s="25" t="s">
        <v>69</v>
      </c>
      <c r="E61" s="27" t="e">
        <f ca="1">+E59/D1-1</f>
        <v>#NAME?</v>
      </c>
    </row>
    <row r="70" spans="1:5" x14ac:dyDescent="0.2">
      <c r="A70" t="s">
        <v>70</v>
      </c>
    </row>
    <row r="71" spans="1:5" x14ac:dyDescent="0.2">
      <c r="A71" t="s">
        <v>71</v>
      </c>
      <c r="B71" t="s">
        <v>72</v>
      </c>
      <c r="D71" s="24" t="e">
        <f ca="1">_xll.BDP(B1,B71)</f>
        <v>#NAME?</v>
      </c>
    </row>
    <row r="72" spans="1:5" x14ac:dyDescent="0.2">
      <c r="A72" t="s">
        <v>73</v>
      </c>
      <c r="B72" t="s">
        <v>74</v>
      </c>
      <c r="D72" s="24" t="e">
        <f ca="1">_xll.BDP(B1,B72)</f>
        <v>#NAME?</v>
      </c>
      <c r="E72" s="17" t="e">
        <f ca="1">+D1/D72-1</f>
        <v>#NAME?</v>
      </c>
    </row>
  </sheetData>
  <conditionalFormatting sqref="I50">
    <cfRule type="cellIs" dxfId="0" priority="1" operator="greaterThan">
      <formula>0.03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Reynolds</dc:creator>
  <cp:lastModifiedBy>Reynolds, Elizabeth W</cp:lastModifiedBy>
  <dcterms:created xsi:type="dcterms:W3CDTF">2025-03-16T23:03:43Z</dcterms:created>
  <dcterms:modified xsi:type="dcterms:W3CDTF">2025-08-27T10:59:24Z</dcterms:modified>
</cp:coreProperties>
</file>